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f21\source\repos\CutoverPlanner\"/>
    </mc:Choice>
  </mc:AlternateContent>
  <xr:revisionPtr revIDLastSave="0" documentId="13_ncr:1_{E1409CB6-C2AC-4F07-8554-AD04367646A7}" xr6:coauthVersionLast="47" xr6:coauthVersionMax="47" xr10:uidLastSave="{00000000-0000-0000-0000-000000000000}"/>
  <bookViews>
    <workbookView xWindow="-5715" yWindow="-16320" windowWidth="29040" windowHeight="15720" tabRatio="540" xr2:uid="{C97315FB-AC97-4FBC-B50C-226D58C7FA99}"/>
  </bookViews>
  <sheets>
    <sheet name="Plano Cutover Consolidado" sheetId="1" r:id="rId1"/>
  </sheets>
  <externalReferences>
    <externalReference r:id="rId2"/>
  </externalReferences>
  <definedNames>
    <definedName name="_xlnm._FilterDatabase" localSheetId="0" hidden="1">'Plano Cutover Consolidado'!$A$1:$P$97</definedName>
    <definedName name="Display_Week">'[1]CUTOVER CAP_PROD'!#REF!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F40" i="1"/>
  <c r="F39" i="1"/>
  <c r="F38" i="1"/>
  <c r="F88" i="1"/>
  <c r="N85" i="1"/>
  <c r="N86" i="1"/>
  <c r="N87" i="1"/>
  <c r="N8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9" i="1"/>
  <c r="N90" i="1"/>
  <c r="N91" i="1"/>
  <c r="N92" i="1"/>
  <c r="N93" i="1"/>
  <c r="N94" i="1"/>
  <c r="N95" i="1"/>
  <c r="N96" i="1"/>
  <c r="N97" i="1"/>
  <c r="F36" i="1"/>
  <c r="F64" i="1"/>
  <c r="F17" i="1"/>
  <c r="F16" i="1"/>
  <c r="F65" i="1"/>
  <c r="F61" i="1"/>
  <c r="F75" i="1"/>
  <c r="F73" i="1"/>
  <c r="F72" i="1"/>
  <c r="F70" i="1"/>
  <c r="F58" i="1"/>
  <c r="F57" i="1"/>
  <c r="F56" i="1"/>
  <c r="F55" i="1"/>
  <c r="F52" i="1"/>
  <c r="F37" i="1"/>
  <c r="F29" i="1"/>
  <c r="F28" i="1"/>
  <c r="F27" i="1"/>
  <c r="F20" i="1"/>
  <c r="F19" i="1"/>
</calcChain>
</file>

<file path=xl/sharedStrings.xml><?xml version="1.0" encoding="utf-8"?>
<sst xmlns="http://schemas.openxmlformats.org/spreadsheetml/2006/main" count="708" uniqueCount="158">
  <si>
    <t>Caminho Crítico</t>
  </si>
  <si>
    <t>SISTEMA</t>
  </si>
  <si>
    <t>MILESTONE</t>
  </si>
  <si>
    <t>ATIVIDADES</t>
  </si>
  <si>
    <t>ID</t>
  </si>
  <si>
    <t>PREDECESSORA</t>
  </si>
  <si>
    <t xml:space="preserve">RESPONSÁVEL </t>
  </si>
  <si>
    <t>ÁREA EXECUTORA</t>
  </si>
  <si>
    <t>EXECUTOR</t>
  </si>
  <si>
    <t>STATUS</t>
  </si>
  <si>
    <t>Risco Go-live</t>
  </si>
  <si>
    <t>START</t>
  </si>
  <si>
    <t>END</t>
  </si>
  <si>
    <t>MONITORAMENTO DO PRAZO</t>
  </si>
  <si>
    <t>OBSERVAÇÃO</t>
  </si>
  <si>
    <t>Link do repositório</t>
  </si>
  <si>
    <t>CONCLUÍDO</t>
  </si>
  <si>
    <t>EM ANDAMENTO</t>
  </si>
  <si>
    <t>SISTEMAS ENERGISA</t>
  </si>
  <si>
    <t>PREPARAÇÃO AMBIENTES</t>
  </si>
  <si>
    <t>Definir quantidade de partições por aplicação crítica, sem ter a lógica de 3 treads por partições e validar com o time de eforce</t>
  </si>
  <si>
    <t>SIM</t>
  </si>
  <si>
    <t>Ana Cristina Barbosa Faria</t>
  </si>
  <si>
    <t>GEAD/OPERAÇÃO DESPACHO</t>
  </si>
  <si>
    <t>Wagner Bianchini Narde</t>
  </si>
  <si>
    <t>Valeria Martelloti da Silva</t>
  </si>
  <si>
    <t>GEAD/CANAIS CONVENCIONAIS</t>
  </si>
  <si>
    <t>Victor Teixeira Pinheiro</t>
  </si>
  <si>
    <t>Incluir config de maxpol dos pods críticos</t>
  </si>
  <si>
    <t>Daniel Felipe Borba</t>
  </si>
  <si>
    <t>Marco Aurelio Vilela Sousa</t>
  </si>
  <si>
    <t>GEAD/CANAIS DIGITAIS</t>
  </si>
  <si>
    <t>Lucas de Almeida Teixeira</t>
  </si>
  <si>
    <t>Calibrar o máximo ótimo de memória e processamento</t>
  </si>
  <si>
    <t>Alterar chave para tentar espalhar os incidentes (resolver o problema de cair sempre na mesma fila</t>
  </si>
  <si>
    <t>Douglas Torres Cravo Borges</t>
  </si>
  <si>
    <t>Validar comportamento do fuso horário das APIs/Serviços tanto para a EMS e EMR e ajustar se necessário para Canais Convênionais</t>
  </si>
  <si>
    <t>Validar comportamento do fuso horário das APIs/Serviços tanto para a EMS e EMR e ajustar se necessário para Canais Digitais</t>
  </si>
  <si>
    <t>Validar comportamento do fuso horário das APIs/Serviços tanto para a EMS e EMR e ajustar se necessário para Cobrança</t>
  </si>
  <si>
    <t>Thiago Rodrigues e Rodrigues</t>
  </si>
  <si>
    <t>GEAD/COBRANÇA</t>
  </si>
  <si>
    <t>Diogo de Souza Miranda</t>
  </si>
  <si>
    <t>Validar comportamento do fuso horário das APIs/Serviços tanto para a EMS e EMR e ajustar se necessário para Operação Despacho</t>
  </si>
  <si>
    <t>Validar comportamento do fuso horário das APIs/Serviços tanto para a EMS e EMR e ajustar se necessário para Operação Manutenção</t>
  </si>
  <si>
    <t>Otavio de Barros Freitas</t>
  </si>
  <si>
    <t>GEAD/OPERAÇÃO MANUTENÇÃO</t>
  </si>
  <si>
    <t>Marcus Vinicius Alves de Castro</t>
  </si>
  <si>
    <t>Abrir chamado de ajuste de fuso horário do banco COM_MGR_H4 para UTC-3 (Chamado 30481258)</t>
  </si>
  <si>
    <t>Diego Anzolin Ferreira</t>
  </si>
  <si>
    <t>Atender/Executar o chamado 30481258 de ajuste de fuso horário do banco COM_MGR_H4 para UTC-3</t>
  </si>
  <si>
    <t>Daniel Eduardo Garrido Barzellay</t>
  </si>
  <si>
    <t>INFRA BANCO DE DADOS</t>
  </si>
  <si>
    <t>Andre Ramos de Lima</t>
  </si>
  <si>
    <t>UTC-3 já é o padrão</t>
  </si>
  <si>
    <t>Validar chamado 30481258 ajuste de fuso horário do banco CCOM_MGR_H4 para UTC-3</t>
  </si>
  <si>
    <t>Abrir chamado de ajuste de fuso horário do banco COM_MTS_H4 para UTC-4 (Chamado 30481259)</t>
  </si>
  <si>
    <t>Atender/Executar o chamado 30481259 de ajuste de fuso horário do banco COM_MTS_H4 para UTC-4</t>
  </si>
  <si>
    <t>Não pode ser mudado para UTC-4 pois tem outras instances no mesmo ambiente que usam UTC-3</t>
  </si>
  <si>
    <t>Validar chamado 30481259 ajuste de fuso horário do banco COM_MTS_H4 para UTC-4</t>
  </si>
  <si>
    <t>Revisar e ajustar as configurações de Horizontal Pod Autoscaler (HPA) no OpenShift de todos os serviços de Canais Convencionais</t>
  </si>
  <si>
    <t>Revisar e ajustar as configurações de Horizontal Pod Autoscaler (HPA) no OpenShift de todos os serviços de Canais Digitais</t>
  </si>
  <si>
    <t>Revisar e ajustar as configurações de Horizontal Pod Autoscaler (HPA) no OpenShift de todos os serviços de Cobrança</t>
  </si>
  <si>
    <t>Realizado analise e aumentado o recuros em HO</t>
  </si>
  <si>
    <t>Revisar e ajustar as configurações de Horizontal Pod Autoscaler (HPA) no OpenShift de todos os serviços de Operação Despacho</t>
  </si>
  <si>
    <t>Revisar e ajustar as configurações de Horizontal Pod Autoscaler (HPA) no OpenShift de todos os serviços de Operação Manutenção</t>
  </si>
  <si>
    <t>Revisar Quotas do namespace no OpenShift, ajustando limites de CPU/memória conforme necessidades de desempenho</t>
  </si>
  <si>
    <t>Abrir chamado de ajuste de Quota (Informar chamado)</t>
  </si>
  <si>
    <t>Atender/Executar o chamado de ajuste de Quota</t>
  </si>
  <si>
    <t>Valeria Ferreira Victor</t>
  </si>
  <si>
    <t>INFRA APLICAÇÕES</t>
  </si>
  <si>
    <t>Carlos Aquino/Carlos Souza/Rebeca Vitoria Costa Souza</t>
  </si>
  <si>
    <t>Validar o ajuste de Quota</t>
  </si>
  <si>
    <t>Revisar volumetria e abrir chamado de ajuste (por minuto e mês) das APIs de Canais Convencionais</t>
  </si>
  <si>
    <t>Revisar volumetria e abrir chamado de ajuste (por minuto e mês) das APIs de Canais Digitais</t>
  </si>
  <si>
    <t>Revisar volumetria e abrir chamado de ajuste (por minuto e mês) das APIs de Cobrança</t>
  </si>
  <si>
    <t>Dados de produção extraido pelo usuário referente as requisições do HEMERA/GAUS  EMS (total mes janeiro:  60131) - EMR (total mes janeiro:  34855) e ESS (total mes janeiro: 80589)</t>
  </si>
  <si>
    <t>Revisar volumetria e abrir chamado de ajuste (por minuto e mês) das APIs de Faturamento</t>
  </si>
  <si>
    <t>Eder Marcos da Silva</t>
  </si>
  <si>
    <t>GEAD/FATURAMENTO</t>
  </si>
  <si>
    <t>Anderson Luiz Pereira Dias</t>
  </si>
  <si>
    <t>Revisar volumetria e abrir chamado de ajuste (por minuto e mês) das APIs de Operação Despacho</t>
  </si>
  <si>
    <t>Revisar volumetria e abrir chamado de ajuste (por minuto e mês) das APIs de Operação Manutenção</t>
  </si>
  <si>
    <t>Atender/Executar os chamados de ajustes de volumetria das APIs</t>
  </si>
  <si>
    <t>Andrea Bittencourt</t>
  </si>
  <si>
    <t>Ghullite Tacone Bento</t>
  </si>
  <si>
    <t>Validar o ajuste de volumetria das APIs de Canais Convencionais</t>
  </si>
  <si>
    <t>Validar o ajuste de volumetria das APIs de Canais Digitais</t>
  </si>
  <si>
    <t>Validar o ajuste de volumetria das APIs de Cobrança</t>
  </si>
  <si>
    <t>Consome apigodordemservico</t>
  </si>
  <si>
    <t>Validar o ajuste de volumetria das APIs de Operação Despacho</t>
  </si>
  <si>
    <t>Validar o ajuste de volumetria das APIs de Operação Manutenção</t>
  </si>
  <si>
    <t>Configuração das URL das APIs por separação por empresas para Canais Convencionais</t>
  </si>
  <si>
    <t>Configuração das URL das APIs por separação por empresas para Canais Digitais</t>
  </si>
  <si>
    <t>Configuração das URL das APIs por separação por empresas para Cobrança</t>
  </si>
  <si>
    <t>Serviço, já possui configuração para buscar por empresa</t>
  </si>
  <si>
    <t>Configuração das URL das APIs por separação por empresas para Operação Despacho</t>
  </si>
  <si>
    <t>Configuração das URL das APIs por separação por empresas para Operação Manutenção</t>
  </si>
  <si>
    <t>Revisão das URLs</t>
  </si>
  <si>
    <t>Abrir chamado das réplicas de banco de dados COM e IGS para EMR e ESS (Chamado 30469561)</t>
  </si>
  <si>
    <t>Abrir chamado das réplicas de banco de dados ITG e SGD para EMR e ESS  (Chamado 30476162)</t>
  </si>
  <si>
    <t>Atender chamado 30469561 das réplicas de banco de dados COM e IGS para EMR e ESS</t>
  </si>
  <si>
    <t>Marcos Vinicius Carvalho Almeida</t>
  </si>
  <si>
    <t>Abrir chamado de otimização das réplicas de banco de dados</t>
  </si>
  <si>
    <t>Otiminizar réplicas de banco de dados</t>
  </si>
  <si>
    <t>Andre Domingues dos Santos Lomba/Eduardo Celso de Paula</t>
  </si>
  <si>
    <t>Testar réplicas de banco de dados</t>
  </si>
  <si>
    <t>Configurar e validar os apontamentos para as réplicas de banco de dados das aplicações legadas</t>
  </si>
  <si>
    <t>Bruno Barroso Miranda</t>
  </si>
  <si>
    <t>Configurar e validar os apontamentos para as réplicas de banco de dados dos serviços</t>
  </si>
  <si>
    <t>Executar carga de causas e motivos</t>
  </si>
  <si>
    <t>Validar com usuários carga de causas e motivos</t>
  </si>
  <si>
    <t>Executar carga de paramentros</t>
  </si>
  <si>
    <t>Criar estrutura das tabelas de ATD/Comunicação</t>
  </si>
  <si>
    <t>Avaliar a possibilidade do time DBA migrar tudo do PDA para ATD (Rodrigo Vallandro e Edmar Mendes Costa)</t>
  </si>
  <si>
    <t>Erica de Andrade e Santos</t>
  </si>
  <si>
    <t>PROJETO</t>
  </si>
  <si>
    <t>Rodrigo Vallandro/Edmar Mendes Costa</t>
  </si>
  <si>
    <t>Migração Tabelas SGD para a Base COM</t>
  </si>
  <si>
    <t>Criar/garantir servidor/aplicação PowerBuilder exclusivo para EMR (ambiente isolado) (com Vinicius Peçanha)</t>
  </si>
  <si>
    <t>Alinhar com Vinicius Peçanha possibilidade de reutilizar servidor e criar “pasta/app” MG (ou necessidade de novo servidor)</t>
  </si>
  <si>
    <t>Abrir chamado de validação do particionamento das tabelas CLIENTE_INTERRUPCAO_ENERGIA e CLIENTE_ITRPC_ENERG_HSTRC para a base COM_MTS_H4 e COM_GMGR_H4 (Chamado 30478703)</t>
  </si>
  <si>
    <t>Atender chamado 30478703 do particionamento de tabelas</t>
  </si>
  <si>
    <t>Validar/Testar particionamento das tabelas do chamado 30478703</t>
  </si>
  <si>
    <t>Obter volumetria da tabela comunicação por mês, dia, hora</t>
  </si>
  <si>
    <t>Analisar volumetria de comunicações</t>
  </si>
  <si>
    <t>Ajustar log das aplicações incluíndo data e hora se necessário para Canais Convencionais</t>
  </si>
  <si>
    <t>Ajustar log das aplicações incluíndo data e hora se necessário para Canais Digitais</t>
  </si>
  <si>
    <t>Ajustar log das aplicações incluíndo data e hora se necessário para  Cobrança</t>
  </si>
  <si>
    <t>Incluido Logs para exibir no openshift console</t>
  </si>
  <si>
    <t>Ajustar log das aplicações incluíndo data e hora se necessário para Operação Despacho</t>
  </si>
  <si>
    <t>Ajustar log das aplicações incluíndo data e hora se necessário para Operação Manutenção</t>
  </si>
  <si>
    <t>Revisar diariamente se as aplicações e serviços OpenShift estão executando</t>
  </si>
  <si>
    <t>diariamente</t>
  </si>
  <si>
    <t>Revisar diariamente se as aplicações e serviços PowerBuilder estão executando</t>
  </si>
  <si>
    <t>Validar perfomance do banco de dados (parecer desenvolvedor)</t>
  </si>
  <si>
    <t>Validar perfomance do banco de dados (parecer usuário)</t>
  </si>
  <si>
    <t>Jean Carlo Ranucci do Amaral</t>
  </si>
  <si>
    <t>USUÁRIO</t>
  </si>
  <si>
    <t>Mauro Souza Carvalho Junior</t>
  </si>
  <si>
    <t>Reunião de alinhamento com time do DataDog sobre a inclusão das APIs de Canais Convencionais</t>
  </si>
  <si>
    <t>NÃO INICIADO</t>
  </si>
  <si>
    <t>Implantação de log no DataDog das APIs de Canais Convencionais</t>
  </si>
  <si>
    <t>Validação de log no DataDog das APIs de Canais Convencionais</t>
  </si>
  <si>
    <t>TESTE DE PERFORMANCE</t>
  </si>
  <si>
    <t>Mapear integrações críticas para OMS: CRM, canais digitais e WFM</t>
  </si>
  <si>
    <t>Validar o envio do campo Source para o ONT (tinhamos um código que foi removido e forçava a empresa EMS)</t>
  </si>
  <si>
    <t>SCHNEIDER</t>
  </si>
  <si>
    <t>Lucas Floriano Gil Apolinario</t>
  </si>
  <si>
    <t>Definição dos cenários de carga e volumes por Unidade (EMS, EMR e ESS)</t>
  </si>
  <si>
    <t>Preparação dos scripts de geração de incidentes  - Canal Convencional</t>
  </si>
  <si>
    <t>QA</t>
  </si>
  <si>
    <t>Charles Campos Correa</t>
  </si>
  <si>
    <t>Preparação dos scripts de geração de incidentes  - Canais Digitais</t>
  </si>
  <si>
    <t>Validação dos scripts</t>
  </si>
  <si>
    <t>Preparação e ajustes das APIs SIGOD</t>
  </si>
  <si>
    <t>Preparação dos cenários de testes</t>
  </si>
  <si>
    <t>Vanessa de Carvalho Ferreira</t>
  </si>
  <si>
    <t>Charles Correa/Mailton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</si>
</sst>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[$-F400]h:mm:ss\ AM/PM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22"/>
      <color theme="1" tint="0.34998626667073579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6">
    <xf numFmtId="0" fontId="0" fillId="0" borderId="0"/>
    <xf numFmtId="0" fontId="4" fillId="0" borderId="0"/>
    <xf numFmtId="0" fontId="1" fillId="0" borderId="2" applyFill="0">
      <alignment horizontal="left" vertical="center" indent="2"/>
    </xf>
    <xf numFmtId="0" fontId="1" fillId="0" borderId="2" applyFill="0">
      <alignment horizontal="center" vertical="center"/>
    </xf>
    <xf numFmtId="164" fontId="1" fillId="0" borderId="2" applyFill="0">
      <alignment horizontal="center" vertical="center"/>
    </xf>
    <xf numFmtId="0" fontId="11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8" fillId="6" borderId="2" xfId="2" applyFont="1" applyFill="1" applyAlignment="1">
      <alignment horizontal="center" vertical="center"/>
    </xf>
    <xf numFmtId="0" fontId="9" fillId="7" borderId="2" xfId="2" applyFont="1" applyFill="1" applyAlignment="1">
      <alignment horizontal="left" vertical="center"/>
    </xf>
    <xf numFmtId="0" fontId="9" fillId="7" borderId="2" xfId="2" applyFont="1" applyFill="1" applyAlignment="1">
      <alignment horizontal="center" vertical="center"/>
    </xf>
    <xf numFmtId="0" fontId="9" fillId="7" borderId="2" xfId="3" applyFont="1" applyFill="1">
      <alignment horizontal="center" vertical="center"/>
    </xf>
    <xf numFmtId="0" fontId="8" fillId="6" borderId="2" xfId="3" applyFont="1" applyFill="1">
      <alignment horizontal="center" vertical="center"/>
    </xf>
    <xf numFmtId="22" fontId="9" fillId="7" borderId="2" xfId="4" applyNumberFormat="1" applyFont="1" applyFill="1">
      <alignment horizontal="center" vertical="center"/>
    </xf>
    <xf numFmtId="0" fontId="6" fillId="0" borderId="0" xfId="0" applyFont="1" applyAlignment="1">
      <alignment vertical="center"/>
    </xf>
    <xf numFmtId="165" fontId="9" fillId="7" borderId="2" xfId="4" applyNumberFormat="1" applyFont="1" applyFill="1" applyAlignment="1">
      <alignment horizontal="left" vertical="center"/>
    </xf>
    <xf numFmtId="165" fontId="9" fillId="7" borderId="2" xfId="4" applyNumberFormat="1" applyFont="1" applyFill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7" borderId="2" xfId="3" applyFont="1" applyFill="1">
      <alignment horizontal="center" vertical="center"/>
    </xf>
  </cellXfs>
  <cellStyles count="6">
    <cellStyle name="Date" xfId="4" xr:uid="{FFECA42C-8B6E-436A-8354-3C866A472306}"/>
    <cellStyle name="Name" xfId="3" xr:uid="{BCD8EA8B-C631-4855-9721-880C6CE327F4}"/>
    <cellStyle name="Normal" xfId="0" builtinId="0"/>
    <cellStyle name="Task" xfId="2" xr:uid="{1B4A94E2-AF59-42AE-B5F2-055616BB15B5}"/>
    <cellStyle name="Título 5" xfId="5" xr:uid="{AA82567A-39E2-4668-886A-015BDE8338D0}"/>
    <cellStyle name="zHiddenText" xfId="1" xr:uid="{4724F1A5-E262-48B2-AA6A-229915339D4D}"/>
  </cellStyles>
  <dxfs count="28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006100"/>
      </font>
      <fill>
        <patternFill>
          <bgColor rgb="FFFF0000"/>
        </patternFill>
      </fill>
    </dxf>
    <dxf>
      <font>
        <color auto="1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006100"/>
      </font>
      <fill>
        <patternFill>
          <bgColor rgb="FFFF0000"/>
        </patternFill>
      </fill>
    </dxf>
    <dxf>
      <font>
        <color auto="1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006100"/>
      </font>
      <fill>
        <patternFill>
          <bgColor rgb="FFFF0000"/>
        </patternFill>
      </fill>
    </dxf>
    <dxf>
      <font>
        <color auto="1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006100"/>
      </font>
      <fill>
        <patternFill>
          <bgColor rgb="FFFF0000"/>
        </patternFill>
      </fill>
    </dxf>
    <dxf>
      <font>
        <color auto="1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006100"/>
      </font>
      <fill>
        <patternFill>
          <bgColor rgb="FFFF0000"/>
        </patternFill>
      </fill>
    </dxf>
    <dxf>
      <font>
        <color auto="1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006100"/>
      </font>
      <fill>
        <patternFill>
          <bgColor rgb="FFFF0000"/>
        </patternFill>
      </fill>
    </dxf>
    <dxf>
      <font>
        <color auto="1"/>
      </font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eas89/Downloads/Cronograma%20Cutover%20&#193;tila_CAPTACAO_OUT23.xlsx" TargetMode="External"/><Relationship Id="rId2" Type="http://schemas.openxmlformats.org/officeDocument/2006/relationships/externalLinkPath" Target="file:///C:\Users\eas89\Downloads\Cronograma%20Cutover%20&#193;tila_CAPTACAO_OUT23.xlsx" TargetMode="External"/><Relationship Id="rId1" Type="http://schemas.openxmlformats.org/officeDocument/2006/relationships/externalLinkPath" Target="/Users/eas89/Downloads/Cronograma%20Cutover%20&#193;tila_CAPTACAO_OUT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O CUTOVER"/>
      <sheetName val="Cutover STI UAT"/>
      <sheetName val="Controle Homologa 6 maio"/>
      <sheetName val="Controle UAT 13 maio"/>
      <sheetName val="Equipes Final de semana maio"/>
      <sheetName val="Observabilidade"/>
      <sheetName val="Contatos"/>
      <sheetName val="escala Mule"/>
      <sheetName val="escala completa SF"/>
      <sheetName val="MS - Contatos"/>
      <sheetName val="Controle Storage"/>
      <sheetName val="Dash"/>
      <sheetName val="Controle Cutover"/>
      <sheetName val="Resumo - CAP, CPQ, PRM"/>
      <sheetName val="CUTOVER CAP_PROD"/>
      <sheetName val="CUTOVER CPQ_PROD"/>
      <sheetName val="Deploy Plan PRM_FUNIL_PROD"/>
      <sheetName val="Salas de Teste Funcional"/>
      <sheetName val="Modelo Cutover"/>
      <sheetName val="BROKER"/>
      <sheetName val="GI"/>
      <sheetName val="GED"/>
      <sheetName val="VOL"/>
      <sheetName val="SELVA"/>
      <sheetName val="Digitaliza"/>
      <sheetName val="Portal 3.0"/>
      <sheetName val="Parceiros"/>
      <sheetName val="SIA"/>
      <sheetName val="MS"/>
      <sheetName val="Mule"/>
      <sheetName val="One Trust"/>
      <sheetName val="Cronograma Macro"/>
      <sheetName val="Plano Rollback"/>
      <sheetName val="Endpoints"/>
      <sheetName val="Duplic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8D96-D1F0-4869-B056-D98C221E6418}">
  <dimension ref="A1:P97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28515625" style="20" customWidth="1"/>
    <col min="2" max="2" width="19.140625" style="21" customWidth="1"/>
    <col min="3" max="3" width="22.7109375" style="22" customWidth="1"/>
    <col min="4" max="4" width="63.28515625" style="2" customWidth="1"/>
    <col min="5" max="5" width="6.85546875" style="21" customWidth="1"/>
    <col min="6" max="6" width="12.7109375" style="21" customWidth="1"/>
    <col min="7" max="7" width="26.28515625" style="21" bestFit="1" customWidth="1"/>
    <col min="8" max="8" width="24.28515625" style="21" bestFit="1" customWidth="1"/>
    <col min="9" max="9" width="33.7109375" style="21" customWidth="1"/>
    <col min="10" max="10" width="15" style="1" customWidth="1"/>
    <col min="11" max="11" width="13.85546875" style="2" customWidth="1"/>
    <col min="12" max="12" width="15" style="2" customWidth="1"/>
    <col min="13" max="13" width="15.5703125" style="2" bestFit="1" customWidth="1"/>
    <col min="14" max="14" width="15.5703125" style="2" customWidth="1"/>
    <col min="15" max="15" width="55.140625" style="3" customWidth="1"/>
    <col min="16" max="16" width="20.5703125" style="2" customWidth="1"/>
  </cols>
  <sheetData>
    <row r="1" spans="1:16" s="8" customFormat="1" ht="30.75" thickBot="1" x14ac:dyDescent="0.3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s="17" customFormat="1" ht="15" customHeight="1" thickBot="1" x14ac:dyDescent="0.3">
      <c r="A2" s="9"/>
      <c r="B2" s="10" t="s">
        <v>18</v>
      </c>
      <c r="C2" s="11" t="s">
        <v>19</v>
      </c>
      <c r="D2" s="12" t="s">
        <v>20</v>
      </c>
      <c r="E2" s="13">
        <v>1</v>
      </c>
      <c r="F2" s="13"/>
      <c r="G2" s="14" t="s">
        <v>22</v>
      </c>
      <c r="H2" s="14" t="s">
        <v>23</v>
      </c>
      <c r="I2" s="14" t="s">
        <v>24</v>
      </c>
      <c r="J2" s="15" t="s">
        <v>16</v>
      </c>
      <c r="K2" s="23"/>
      <c r="L2" s="16">
        <v>46064</v>
      </c>
      <c r="M2" s="16">
        <v>46066</v>
      </c>
      <c r="N2" s="16" t="str">
        <f t="shared" ref="N2:N55" ca="1" si="0">IF(J2="", "", IF(J2="CONCLUÍDO", "FINALIZADA", IF(M2&lt;TODAY(), "ATRASADA", IF(M2=TODAY(), "VENCENDO", IF(M2&gt;TODAY(), "VIGENTE", "")))))</f>
        <v>FINALIZADA</v>
      </c>
      <c r="O2" s="18"/>
      <c r="P2" s="19"/>
    </row>
    <row r="3" spans="1:16" s="17" customFormat="1" ht="15" customHeight="1" thickBot="1" x14ac:dyDescent="0.3">
      <c r="A3" s="9"/>
      <c r="B3" s="10" t="s">
        <v>18</v>
      </c>
      <c r="C3" s="11" t="s">
        <v>19</v>
      </c>
      <c r="D3" s="12" t="s">
        <v>20</v>
      </c>
      <c r="E3" s="13">
        <v>2</v>
      </c>
      <c r="F3" s="13"/>
      <c r="G3" s="14" t="s">
        <v>25</v>
      </c>
      <c r="H3" s="14" t="s">
        <v>26</v>
      </c>
      <c r="I3" s="14" t="s">
        <v>27</v>
      </c>
      <c r="J3" s="15" t="s">
        <v>16</v>
      </c>
      <c r="K3" s="23"/>
      <c r="L3" s="16">
        <v>46064</v>
      </c>
      <c r="M3" s="16">
        <v>46066</v>
      </c>
      <c r="N3" s="16" t="str">
        <f t="shared" ca="1" si="0"/>
        <v>FINALIZADA</v>
      </c>
      <c r="O3" s="18"/>
      <c r="P3" s="19"/>
    </row>
    <row r="4" spans="1:16" s="17" customFormat="1" ht="15" customHeight="1" thickBot="1" x14ac:dyDescent="0.3">
      <c r="A4" s="9"/>
      <c r="B4" s="10" t="s">
        <v>18</v>
      </c>
      <c r="C4" s="11" t="s">
        <v>19</v>
      </c>
      <c r="D4" s="12" t="s">
        <v>28</v>
      </c>
      <c r="E4" s="13">
        <v>3</v>
      </c>
      <c r="F4" s="13"/>
      <c r="G4" s="14" t="s">
        <v>22</v>
      </c>
      <c r="H4" s="14" t="s">
        <v>23</v>
      </c>
      <c r="I4" s="14" t="s">
        <v>29</v>
      </c>
      <c r="J4" s="15" t="s">
        <v>16</v>
      </c>
      <c r="K4" s="23"/>
      <c r="L4" s="16">
        <v>46064</v>
      </c>
      <c r="M4" s="16">
        <v>46066</v>
      </c>
      <c r="N4" s="16" t="str">
        <f t="shared" ca="1" si="0"/>
        <v>FINALIZADA</v>
      </c>
      <c r="O4" s="18"/>
      <c r="P4" s="19"/>
    </row>
    <row r="5" spans="1:16" s="17" customFormat="1" ht="15" customHeight="1" thickBot="1" x14ac:dyDescent="0.3">
      <c r="A5" s="9"/>
      <c r="B5" s="10" t="s">
        <v>18</v>
      </c>
      <c r="C5" s="11" t="s">
        <v>19</v>
      </c>
      <c r="D5" s="12" t="s">
        <v>28</v>
      </c>
      <c r="E5" s="13">
        <v>4</v>
      </c>
      <c r="F5" s="13"/>
      <c r="G5" s="14" t="s">
        <v>30</v>
      </c>
      <c r="H5" s="14" t="s">
        <v>31</v>
      </c>
      <c r="I5" s="14" t="s">
        <v>32</v>
      </c>
      <c r="J5" s="15" t="s">
        <v>16</v>
      </c>
      <c r="K5" s="23"/>
      <c r="L5" s="16">
        <v>46064</v>
      </c>
      <c r="M5" s="16">
        <v>46066</v>
      </c>
      <c r="N5" s="16" t="str">
        <f t="shared" ca="1" si="0"/>
        <v>FINALIZADA</v>
      </c>
      <c r="O5" s="18"/>
      <c r="P5" s="19"/>
    </row>
    <row r="6" spans="1:16" s="17" customFormat="1" ht="15" customHeight="1" thickBot="1" x14ac:dyDescent="0.3">
      <c r="A6" s="9"/>
      <c r="B6" s="10" t="s">
        <v>18</v>
      </c>
      <c r="C6" s="11" t="s">
        <v>19</v>
      </c>
      <c r="D6" s="12" t="s">
        <v>33</v>
      </c>
      <c r="E6" s="13">
        <v>5</v>
      </c>
      <c r="F6" s="13"/>
      <c r="G6" s="14" t="s">
        <v>22</v>
      </c>
      <c r="H6" s="14" t="s">
        <v>23</v>
      </c>
      <c r="I6" s="14" t="s">
        <v>29</v>
      </c>
      <c r="J6" s="15" t="s">
        <v>16</v>
      </c>
      <c r="K6" s="23"/>
      <c r="L6" s="16">
        <v>46064</v>
      </c>
      <c r="M6" s="16">
        <v>46066</v>
      </c>
      <c r="N6" s="16" t="str">
        <f t="shared" ca="1" si="0"/>
        <v>FINALIZADA</v>
      </c>
      <c r="O6" s="18"/>
      <c r="P6" s="19"/>
    </row>
    <row r="7" spans="1:16" s="17" customFormat="1" ht="15" customHeight="1" thickBot="1" x14ac:dyDescent="0.3">
      <c r="A7" s="9"/>
      <c r="B7" s="10" t="s">
        <v>18</v>
      </c>
      <c r="C7" s="11" t="s">
        <v>19</v>
      </c>
      <c r="D7" s="12" t="s">
        <v>33</v>
      </c>
      <c r="E7" s="13">
        <v>6</v>
      </c>
      <c r="F7" s="13"/>
      <c r="G7" s="14" t="s">
        <v>30</v>
      </c>
      <c r="H7" s="14" t="s">
        <v>31</v>
      </c>
      <c r="I7" s="14" t="s">
        <v>32</v>
      </c>
      <c r="J7" s="15" t="s">
        <v>16</v>
      </c>
      <c r="K7" s="23"/>
      <c r="L7" s="16">
        <v>46064</v>
      </c>
      <c r="M7" s="16">
        <v>46066</v>
      </c>
      <c r="N7" s="16" t="str">
        <f t="shared" ca="1" si="0"/>
        <v>FINALIZADA</v>
      </c>
      <c r="O7" s="18"/>
      <c r="P7" s="19"/>
    </row>
    <row r="8" spans="1:16" s="17" customFormat="1" ht="15" customHeight="1" thickBot="1" x14ac:dyDescent="0.3">
      <c r="A8" s="9"/>
      <c r="B8" s="10" t="s">
        <v>18</v>
      </c>
      <c r="C8" s="11" t="s">
        <v>19</v>
      </c>
      <c r="D8" s="12" t="s">
        <v>34</v>
      </c>
      <c r="E8" s="13">
        <v>7</v>
      </c>
      <c r="F8" s="13"/>
      <c r="G8" s="14" t="s">
        <v>22</v>
      </c>
      <c r="H8" s="14" t="s">
        <v>23</v>
      </c>
      <c r="I8" s="14" t="s">
        <v>35</v>
      </c>
      <c r="J8" s="15" t="s">
        <v>16</v>
      </c>
      <c r="K8" s="23"/>
      <c r="L8" s="16">
        <v>46064</v>
      </c>
      <c r="M8" s="16">
        <v>46066</v>
      </c>
      <c r="N8" s="16" t="str">
        <f t="shared" ca="1" si="0"/>
        <v>FINALIZADA</v>
      </c>
      <c r="O8" s="18"/>
      <c r="P8" s="19"/>
    </row>
    <row r="9" spans="1:16" s="17" customFormat="1" ht="15" customHeight="1" thickBot="1" x14ac:dyDescent="0.3">
      <c r="A9" s="9"/>
      <c r="B9" s="10" t="s">
        <v>18</v>
      </c>
      <c r="C9" s="11" t="s">
        <v>19</v>
      </c>
      <c r="D9" s="12" t="s">
        <v>34</v>
      </c>
      <c r="E9" s="13">
        <v>8</v>
      </c>
      <c r="F9" s="13"/>
      <c r="G9" s="14" t="s">
        <v>22</v>
      </c>
      <c r="H9" s="14" t="s">
        <v>23</v>
      </c>
      <c r="I9" s="14" t="s">
        <v>24</v>
      </c>
      <c r="J9" s="15" t="s">
        <v>16</v>
      </c>
      <c r="K9" s="23"/>
      <c r="L9" s="16">
        <v>46064</v>
      </c>
      <c r="M9" s="16">
        <v>46066</v>
      </c>
      <c r="N9" s="16" t="str">
        <f t="shared" ca="1" si="0"/>
        <v>FINALIZADA</v>
      </c>
      <c r="O9" s="18"/>
      <c r="P9" s="19"/>
    </row>
    <row r="10" spans="1:16" s="17" customFormat="1" ht="15" customHeight="1" thickBot="1" x14ac:dyDescent="0.3">
      <c r="A10" s="9"/>
      <c r="B10" s="10" t="s">
        <v>18</v>
      </c>
      <c r="C10" s="11" t="s">
        <v>19</v>
      </c>
      <c r="D10" s="12" t="s">
        <v>36</v>
      </c>
      <c r="E10" s="13">
        <v>9</v>
      </c>
      <c r="F10" s="13"/>
      <c r="G10" s="14" t="s">
        <v>25</v>
      </c>
      <c r="H10" s="14" t="s">
        <v>26</v>
      </c>
      <c r="I10" s="14" t="s">
        <v>27</v>
      </c>
      <c r="J10" s="15" t="s">
        <v>16</v>
      </c>
      <c r="K10" s="23"/>
      <c r="L10" s="16">
        <v>46064</v>
      </c>
      <c r="M10" s="16">
        <v>46064</v>
      </c>
      <c r="N10" s="16" t="str">
        <f t="shared" ca="1" si="0"/>
        <v>FINALIZADA</v>
      </c>
      <c r="O10" s="18"/>
      <c r="P10" s="19"/>
    </row>
    <row r="11" spans="1:16" s="17" customFormat="1" ht="15" customHeight="1" thickBot="1" x14ac:dyDescent="0.3">
      <c r="A11" s="9"/>
      <c r="B11" s="10" t="s">
        <v>18</v>
      </c>
      <c r="C11" s="11" t="s">
        <v>19</v>
      </c>
      <c r="D11" s="12" t="s">
        <v>37</v>
      </c>
      <c r="E11" s="13">
        <v>10</v>
      </c>
      <c r="F11" s="13"/>
      <c r="G11" s="14" t="s">
        <v>30</v>
      </c>
      <c r="H11" s="14" t="s">
        <v>31</v>
      </c>
      <c r="I11" s="14" t="s">
        <v>32</v>
      </c>
      <c r="J11" s="15" t="s">
        <v>16</v>
      </c>
      <c r="K11" s="23"/>
      <c r="L11" s="16">
        <v>46064</v>
      </c>
      <c r="M11" s="16">
        <v>46064</v>
      </c>
      <c r="N11" s="16" t="str">
        <f t="shared" ca="1" si="0"/>
        <v>FINALIZADA</v>
      </c>
      <c r="O11" s="18"/>
      <c r="P11" s="19"/>
    </row>
    <row r="12" spans="1:16" s="17" customFormat="1" ht="15" customHeight="1" thickBot="1" x14ac:dyDescent="0.3">
      <c r="A12" s="9"/>
      <c r="B12" s="10" t="s">
        <v>18</v>
      </c>
      <c r="C12" s="11" t="s">
        <v>19</v>
      </c>
      <c r="D12" s="12" t="s">
        <v>38</v>
      </c>
      <c r="E12" s="13">
        <v>11</v>
      </c>
      <c r="F12" s="13"/>
      <c r="G12" s="14" t="s">
        <v>39</v>
      </c>
      <c r="H12" s="14" t="s">
        <v>40</v>
      </c>
      <c r="I12" s="14" t="s">
        <v>41</v>
      </c>
      <c r="J12" s="15" t="s">
        <v>16</v>
      </c>
      <c r="K12" s="23"/>
      <c r="L12" s="16">
        <v>46064</v>
      </c>
      <c r="M12" s="16">
        <v>46064</v>
      </c>
      <c r="N12" s="16" t="str">
        <f t="shared" ca="1" si="0"/>
        <v>FINALIZADA</v>
      </c>
      <c r="O12" s="18"/>
      <c r="P12" s="19"/>
    </row>
    <row r="13" spans="1:16" s="17" customFormat="1" ht="15" customHeight="1" thickBot="1" x14ac:dyDescent="0.3">
      <c r="A13" s="9"/>
      <c r="B13" s="10" t="s">
        <v>18</v>
      </c>
      <c r="C13" s="11" t="s">
        <v>19</v>
      </c>
      <c r="D13" s="12" t="s">
        <v>42</v>
      </c>
      <c r="E13" s="13">
        <v>12</v>
      </c>
      <c r="F13" s="13"/>
      <c r="G13" s="14" t="s">
        <v>22</v>
      </c>
      <c r="H13" s="14" t="s">
        <v>23</v>
      </c>
      <c r="I13" s="14" t="s">
        <v>24</v>
      </c>
      <c r="J13" s="15" t="s">
        <v>16</v>
      </c>
      <c r="K13" s="23"/>
      <c r="L13" s="16">
        <v>46064</v>
      </c>
      <c r="M13" s="16">
        <v>46064</v>
      </c>
      <c r="N13" s="16" t="str">
        <f t="shared" ca="1" si="0"/>
        <v>FINALIZADA</v>
      </c>
      <c r="O13" s="18"/>
      <c r="P13" s="19"/>
    </row>
    <row r="14" spans="1:16" s="17" customFormat="1" ht="15" customHeight="1" thickBot="1" x14ac:dyDescent="0.3">
      <c r="A14" s="9"/>
      <c r="B14" s="10" t="s">
        <v>18</v>
      </c>
      <c r="C14" s="11" t="s">
        <v>19</v>
      </c>
      <c r="D14" s="12" t="s">
        <v>43</v>
      </c>
      <c r="E14" s="13">
        <v>13</v>
      </c>
      <c r="F14" s="13"/>
      <c r="G14" s="14" t="s">
        <v>44</v>
      </c>
      <c r="H14" s="14" t="s">
        <v>45</v>
      </c>
      <c r="I14" s="14" t="s">
        <v>46</v>
      </c>
      <c r="J14" s="15" t="s">
        <v>16</v>
      </c>
      <c r="K14" s="23"/>
      <c r="L14" s="16">
        <v>46064</v>
      </c>
      <c r="M14" s="16">
        <v>46064</v>
      </c>
      <c r="N14" s="16" t="str">
        <f t="shared" ca="1" si="0"/>
        <v>FINALIZADA</v>
      </c>
      <c r="O14" s="18"/>
      <c r="P14" s="19"/>
    </row>
    <row r="15" spans="1:16" s="17" customFormat="1" ht="15" customHeight="1" thickBot="1" x14ac:dyDescent="0.3">
      <c r="A15" s="9"/>
      <c r="B15" s="10" t="s">
        <v>18</v>
      </c>
      <c r="C15" s="11" t="s">
        <v>19</v>
      </c>
      <c r="D15" s="12" t="s">
        <v>47</v>
      </c>
      <c r="E15" s="13">
        <v>14</v>
      </c>
      <c r="F15" s="13"/>
      <c r="G15" s="14" t="s">
        <v>22</v>
      </c>
      <c r="H15" s="14" t="s">
        <v>23</v>
      </c>
      <c r="I15" s="14" t="s">
        <v>48</v>
      </c>
      <c r="J15" s="15" t="s">
        <v>16</v>
      </c>
      <c r="K15" s="23"/>
      <c r="L15" s="16">
        <v>46063</v>
      </c>
      <c r="M15" s="16">
        <v>46063</v>
      </c>
      <c r="N15" s="16" t="str">
        <f t="shared" ca="1" si="0"/>
        <v>FINALIZADA</v>
      </c>
      <c r="O15" s="18"/>
      <c r="P15" s="19"/>
    </row>
    <row r="16" spans="1:16" s="17" customFormat="1" ht="15" customHeight="1" thickBot="1" x14ac:dyDescent="0.3">
      <c r="A16" s="9"/>
      <c r="B16" s="10" t="s">
        <v>18</v>
      </c>
      <c r="C16" s="11" t="s">
        <v>19</v>
      </c>
      <c r="D16" s="12" t="s">
        <v>49</v>
      </c>
      <c r="E16" s="13">
        <v>15</v>
      </c>
      <c r="F16" s="13">
        <f>E15</f>
        <v>14</v>
      </c>
      <c r="G16" s="14" t="s">
        <v>50</v>
      </c>
      <c r="H16" s="14" t="s">
        <v>51</v>
      </c>
      <c r="I16" s="14" t="s">
        <v>52</v>
      </c>
      <c r="J16" s="15" t="s">
        <v>16</v>
      </c>
      <c r="K16" s="23"/>
      <c r="L16" s="16">
        <v>46063</v>
      </c>
      <c r="M16" s="16">
        <v>46064</v>
      </c>
      <c r="N16" s="16" t="str">
        <f t="shared" ca="1" si="0"/>
        <v>FINALIZADA</v>
      </c>
      <c r="O16" s="18" t="s">
        <v>53</v>
      </c>
      <c r="P16" s="19"/>
    </row>
    <row r="17" spans="1:16" s="17" customFormat="1" ht="15" customHeight="1" thickBot="1" x14ac:dyDescent="0.3">
      <c r="A17" s="9"/>
      <c r="B17" s="10" t="s">
        <v>18</v>
      </c>
      <c r="C17" s="11" t="s">
        <v>19</v>
      </c>
      <c r="D17" s="12" t="s">
        <v>54</v>
      </c>
      <c r="E17" s="13">
        <v>16</v>
      </c>
      <c r="F17" s="13">
        <f>E16</f>
        <v>15</v>
      </c>
      <c r="G17" s="14" t="s">
        <v>22</v>
      </c>
      <c r="H17" s="14" t="s">
        <v>23</v>
      </c>
      <c r="I17" s="14" t="s">
        <v>48</v>
      </c>
      <c r="J17" s="15" t="s">
        <v>16</v>
      </c>
      <c r="K17" s="23"/>
      <c r="L17" s="16">
        <v>46064</v>
      </c>
      <c r="M17" s="16">
        <v>46064</v>
      </c>
      <c r="N17" s="16" t="str">
        <f t="shared" ca="1" si="0"/>
        <v>FINALIZADA</v>
      </c>
      <c r="O17" s="18"/>
      <c r="P17" s="19"/>
    </row>
    <row r="18" spans="1:16" s="17" customFormat="1" ht="15" customHeight="1" thickBot="1" x14ac:dyDescent="0.3">
      <c r="A18" s="9"/>
      <c r="B18" s="10" t="s">
        <v>18</v>
      </c>
      <c r="C18" s="11" t="s">
        <v>19</v>
      </c>
      <c r="D18" s="12" t="s">
        <v>55</v>
      </c>
      <c r="E18" s="13">
        <v>17</v>
      </c>
      <c r="F18" s="13"/>
      <c r="G18" s="14" t="s">
        <v>22</v>
      </c>
      <c r="H18" s="14" t="s">
        <v>23</v>
      </c>
      <c r="I18" s="14" t="s">
        <v>48</v>
      </c>
      <c r="J18" s="15" t="s">
        <v>16</v>
      </c>
      <c r="K18" s="23"/>
      <c r="L18" s="16">
        <v>46063</v>
      </c>
      <c r="M18" s="16">
        <v>46063</v>
      </c>
      <c r="N18" s="16" t="str">
        <f t="shared" ca="1" si="0"/>
        <v>FINALIZADA</v>
      </c>
      <c r="O18" s="18"/>
      <c r="P18" s="19"/>
    </row>
    <row r="19" spans="1:16" s="17" customFormat="1" ht="15" customHeight="1" thickBot="1" x14ac:dyDescent="0.3">
      <c r="A19" s="9"/>
      <c r="B19" s="10" t="s">
        <v>18</v>
      </c>
      <c r="C19" s="11" t="s">
        <v>19</v>
      </c>
      <c r="D19" s="12" t="s">
        <v>56</v>
      </c>
      <c r="E19" s="13">
        <v>18</v>
      </c>
      <c r="F19" s="13">
        <f>E18</f>
        <v>17</v>
      </c>
      <c r="G19" s="14" t="s">
        <v>50</v>
      </c>
      <c r="H19" s="14" t="s">
        <v>51</v>
      </c>
      <c r="I19" s="14" t="s">
        <v>52</v>
      </c>
      <c r="J19" s="15" t="s">
        <v>16</v>
      </c>
      <c r="K19" s="23"/>
      <c r="L19" s="16">
        <v>46063</v>
      </c>
      <c r="M19" s="16">
        <v>46064</v>
      </c>
      <c r="N19" s="16" t="str">
        <f t="shared" ca="1" si="0"/>
        <v>FINALIZADA</v>
      </c>
      <c r="O19" s="18" t="s">
        <v>57</v>
      </c>
      <c r="P19" s="19"/>
    </row>
    <row r="20" spans="1:16" s="17" customFormat="1" ht="15" customHeight="1" thickBot="1" x14ac:dyDescent="0.3">
      <c r="A20" s="9"/>
      <c r="B20" s="10" t="s">
        <v>18</v>
      </c>
      <c r="C20" s="11" t="s">
        <v>19</v>
      </c>
      <c r="D20" s="12" t="s">
        <v>58</v>
      </c>
      <c r="E20" s="13">
        <v>19</v>
      </c>
      <c r="F20" s="13">
        <f>E19</f>
        <v>18</v>
      </c>
      <c r="G20" s="14" t="s">
        <v>22</v>
      </c>
      <c r="H20" s="14" t="s">
        <v>23</v>
      </c>
      <c r="I20" s="14" t="s">
        <v>48</v>
      </c>
      <c r="J20" s="15" t="s">
        <v>16</v>
      </c>
      <c r="K20" s="23"/>
      <c r="L20" s="16">
        <v>46064</v>
      </c>
      <c r="M20" s="16">
        <v>46064</v>
      </c>
      <c r="N20" s="16" t="str">
        <f t="shared" ca="1" si="0"/>
        <v>FINALIZADA</v>
      </c>
      <c r="O20" s="18"/>
      <c r="P20" s="19"/>
    </row>
    <row r="21" spans="1:16" s="17" customFormat="1" ht="15" customHeight="1" thickBot="1" x14ac:dyDescent="0.3">
      <c r="A21" s="9"/>
      <c r="B21" s="10" t="s">
        <v>18</v>
      </c>
      <c r="C21" s="11" t="s">
        <v>19</v>
      </c>
      <c r="D21" s="12" t="s">
        <v>59</v>
      </c>
      <c r="E21" s="13">
        <v>20</v>
      </c>
      <c r="F21" s="13"/>
      <c r="G21" s="14" t="s">
        <v>25</v>
      </c>
      <c r="H21" s="14" t="s">
        <v>26</v>
      </c>
      <c r="I21" s="14" t="s">
        <v>27</v>
      </c>
      <c r="J21" s="15" t="s">
        <v>16</v>
      </c>
      <c r="K21" s="23"/>
      <c r="L21" s="16">
        <v>46063</v>
      </c>
      <c r="M21" s="16">
        <v>46066</v>
      </c>
      <c r="N21" s="16" t="str">
        <f t="shared" ca="1" si="0"/>
        <v>FINALIZADA</v>
      </c>
      <c r="O21" s="18"/>
      <c r="P21" s="19"/>
    </row>
    <row r="22" spans="1:16" s="17" customFormat="1" ht="15" customHeight="1" thickBot="1" x14ac:dyDescent="0.3">
      <c r="A22" s="9"/>
      <c r="B22" s="10" t="s">
        <v>18</v>
      </c>
      <c r="C22" s="11" t="s">
        <v>19</v>
      </c>
      <c r="D22" s="12" t="s">
        <v>60</v>
      </c>
      <c r="E22" s="13">
        <v>21</v>
      </c>
      <c r="F22" s="13"/>
      <c r="G22" s="14" t="s">
        <v>30</v>
      </c>
      <c r="H22" s="14" t="s">
        <v>31</v>
      </c>
      <c r="I22" s="14" t="s">
        <v>32</v>
      </c>
      <c r="J22" s="15" t="s">
        <v>16</v>
      </c>
      <c r="K22" s="23"/>
      <c r="L22" s="16">
        <v>46063</v>
      </c>
      <c r="M22" s="16">
        <v>46066</v>
      </c>
      <c r="N22" s="16" t="str">
        <f t="shared" ca="1" si="0"/>
        <v>FINALIZADA</v>
      </c>
      <c r="O22" s="18"/>
      <c r="P22" s="19"/>
    </row>
    <row r="23" spans="1:16" s="17" customFormat="1" ht="15" customHeight="1" thickBot="1" x14ac:dyDescent="0.3">
      <c r="A23" s="9"/>
      <c r="B23" s="10" t="s">
        <v>18</v>
      </c>
      <c r="C23" s="11" t="s">
        <v>19</v>
      </c>
      <c r="D23" s="12" t="s">
        <v>61</v>
      </c>
      <c r="E23" s="13">
        <v>22</v>
      </c>
      <c r="F23" s="13"/>
      <c r="G23" s="14" t="s">
        <v>39</v>
      </c>
      <c r="H23" s="14" t="s">
        <v>40</v>
      </c>
      <c r="I23" s="14" t="s">
        <v>41</v>
      </c>
      <c r="J23" s="15" t="s">
        <v>16</v>
      </c>
      <c r="K23" s="23"/>
      <c r="L23" s="16">
        <v>46063</v>
      </c>
      <c r="M23" s="16">
        <v>46066</v>
      </c>
      <c r="N23" s="16" t="str">
        <f t="shared" ca="1" si="0"/>
        <v>FINALIZADA</v>
      </c>
      <c r="O23" s="18" t="s">
        <v>62</v>
      </c>
      <c r="P23" s="19"/>
    </row>
    <row r="24" spans="1:16" s="17" customFormat="1" ht="15" customHeight="1" thickBot="1" x14ac:dyDescent="0.3">
      <c r="A24" s="9"/>
      <c r="B24" s="10" t="s">
        <v>18</v>
      </c>
      <c r="C24" s="11" t="s">
        <v>19</v>
      </c>
      <c r="D24" s="12" t="s">
        <v>63</v>
      </c>
      <c r="E24" s="13">
        <v>23</v>
      </c>
      <c r="F24" s="13"/>
      <c r="G24" s="14" t="s">
        <v>22</v>
      </c>
      <c r="H24" s="14" t="s">
        <v>23</v>
      </c>
      <c r="I24" s="14" t="s">
        <v>35</v>
      </c>
      <c r="J24" s="15" t="s">
        <v>16</v>
      </c>
      <c r="K24" s="23"/>
      <c r="L24" s="16">
        <v>46063</v>
      </c>
      <c r="M24" s="16">
        <v>46066</v>
      </c>
      <c r="N24" s="16" t="str">
        <f t="shared" ca="1" si="0"/>
        <v>FINALIZADA</v>
      </c>
      <c r="O24" s="18"/>
      <c r="P24" s="19"/>
    </row>
    <row r="25" spans="1:16" s="17" customFormat="1" ht="15" customHeight="1" thickBot="1" x14ac:dyDescent="0.3">
      <c r="A25" s="9"/>
      <c r="B25" s="10" t="s">
        <v>18</v>
      </c>
      <c r="C25" s="11" t="s">
        <v>19</v>
      </c>
      <c r="D25" s="12" t="s">
        <v>64</v>
      </c>
      <c r="E25" s="13">
        <v>24</v>
      </c>
      <c r="F25" s="13"/>
      <c r="G25" s="14" t="s">
        <v>44</v>
      </c>
      <c r="H25" s="14" t="s">
        <v>45</v>
      </c>
      <c r="I25" s="14" t="s">
        <v>46</v>
      </c>
      <c r="J25" s="15" t="s">
        <v>16</v>
      </c>
      <c r="K25" s="23"/>
      <c r="L25" s="16">
        <v>46063</v>
      </c>
      <c r="M25" s="16">
        <v>46066</v>
      </c>
      <c r="N25" s="16" t="str">
        <f t="shared" ca="1" si="0"/>
        <v>FINALIZADA</v>
      </c>
      <c r="O25" s="18"/>
      <c r="P25" s="19"/>
    </row>
    <row r="26" spans="1:16" s="17" customFormat="1" ht="15" customHeight="1" thickBot="1" x14ac:dyDescent="0.3">
      <c r="A26" s="9"/>
      <c r="B26" s="10" t="s">
        <v>18</v>
      </c>
      <c r="C26" s="11" t="s">
        <v>19</v>
      </c>
      <c r="D26" s="12" t="s">
        <v>65</v>
      </c>
      <c r="E26" s="13">
        <v>25</v>
      </c>
      <c r="F26" s="13"/>
      <c r="G26" s="14" t="s">
        <v>22</v>
      </c>
      <c r="H26" s="14" t="s">
        <v>23</v>
      </c>
      <c r="I26" s="14" t="s">
        <v>48</v>
      </c>
      <c r="J26" s="15" t="s">
        <v>16</v>
      </c>
      <c r="K26" s="23"/>
      <c r="L26" s="16">
        <v>46064</v>
      </c>
      <c r="M26" s="16">
        <v>46064</v>
      </c>
      <c r="N26" s="16" t="str">
        <f t="shared" ca="1" si="0"/>
        <v>FINALIZADA</v>
      </c>
      <c r="O26" s="18"/>
      <c r="P26" s="19"/>
    </row>
    <row r="27" spans="1:16" s="17" customFormat="1" ht="15" customHeight="1" thickBot="1" x14ac:dyDescent="0.3">
      <c r="A27" s="9"/>
      <c r="B27" s="10" t="s">
        <v>18</v>
      </c>
      <c r="C27" s="11" t="s">
        <v>19</v>
      </c>
      <c r="D27" s="12" t="s">
        <v>66</v>
      </c>
      <c r="E27" s="13">
        <v>26</v>
      </c>
      <c r="F27" s="13">
        <f>E26</f>
        <v>25</v>
      </c>
      <c r="G27" s="14" t="s">
        <v>22</v>
      </c>
      <c r="H27" s="14" t="s">
        <v>23</v>
      </c>
      <c r="I27" s="14" t="s">
        <v>48</v>
      </c>
      <c r="J27" s="15" t="s">
        <v>16</v>
      </c>
      <c r="K27" s="23"/>
      <c r="L27" s="16">
        <v>46064</v>
      </c>
      <c r="M27" s="16">
        <v>46066</v>
      </c>
      <c r="N27" s="16" t="str">
        <f t="shared" ca="1" si="0"/>
        <v>FINALIZADA</v>
      </c>
      <c r="O27" s="18"/>
      <c r="P27" s="19"/>
    </row>
    <row r="28" spans="1:16" s="17" customFormat="1" ht="15" customHeight="1" thickBot="1" x14ac:dyDescent="0.3">
      <c r="A28" s="9"/>
      <c r="B28" s="10" t="s">
        <v>18</v>
      </c>
      <c r="C28" s="11" t="s">
        <v>19</v>
      </c>
      <c r="D28" s="12" t="s">
        <v>67</v>
      </c>
      <c r="E28" s="13">
        <v>27</v>
      </c>
      <c r="F28" s="13">
        <f>E27</f>
        <v>26</v>
      </c>
      <c r="G28" s="14" t="s">
        <v>68</v>
      </c>
      <c r="H28" s="14" t="s">
        <v>69</v>
      </c>
      <c r="I28" s="14" t="s">
        <v>70</v>
      </c>
      <c r="J28" s="15" t="s">
        <v>16</v>
      </c>
      <c r="K28" s="23"/>
      <c r="L28" s="16">
        <v>46064</v>
      </c>
      <c r="M28" s="16">
        <v>46065</v>
      </c>
      <c r="N28" s="16" t="str">
        <f t="shared" ca="1" si="0"/>
        <v>FINALIZADA</v>
      </c>
      <c r="O28" s="18"/>
      <c r="P28" s="19"/>
    </row>
    <row r="29" spans="1:16" s="17" customFormat="1" ht="15" customHeight="1" thickBot="1" x14ac:dyDescent="0.3">
      <c r="A29" s="9"/>
      <c r="B29" s="10" t="s">
        <v>18</v>
      </c>
      <c r="C29" s="11" t="s">
        <v>19</v>
      </c>
      <c r="D29" s="12" t="s">
        <v>71</v>
      </c>
      <c r="E29" s="13">
        <v>28</v>
      </c>
      <c r="F29" s="13">
        <f>E28</f>
        <v>27</v>
      </c>
      <c r="G29" s="14" t="s">
        <v>22</v>
      </c>
      <c r="H29" s="14" t="s">
        <v>23</v>
      </c>
      <c r="I29" s="14" t="s">
        <v>48</v>
      </c>
      <c r="J29" s="15" t="s">
        <v>16</v>
      </c>
      <c r="K29" s="23"/>
      <c r="L29" s="16">
        <v>46065</v>
      </c>
      <c r="M29" s="16">
        <v>46066</v>
      </c>
      <c r="N29" s="16" t="str">
        <f t="shared" ca="1" si="0"/>
        <v>FINALIZADA</v>
      </c>
      <c r="O29" s="18"/>
      <c r="P29" s="19"/>
    </row>
    <row r="30" spans="1:16" s="17" customFormat="1" ht="15" customHeight="1" thickBot="1" x14ac:dyDescent="0.3">
      <c r="A30" s="9"/>
      <c r="B30" s="10" t="s">
        <v>18</v>
      </c>
      <c r="C30" s="11" t="s">
        <v>19</v>
      </c>
      <c r="D30" s="12" t="s">
        <v>72</v>
      </c>
      <c r="E30" s="13">
        <v>29</v>
      </c>
      <c r="F30" s="13"/>
      <c r="G30" s="14" t="s">
        <v>25</v>
      </c>
      <c r="H30" s="14" t="s">
        <v>26</v>
      </c>
      <c r="I30" s="14" t="s">
        <v>27</v>
      </c>
      <c r="J30" s="15" t="s">
        <v>16</v>
      </c>
      <c r="K30" s="23"/>
      <c r="L30" s="16">
        <v>46064</v>
      </c>
      <c r="M30" s="16">
        <v>46064</v>
      </c>
      <c r="N30" s="16" t="str">
        <f t="shared" ca="1" si="0"/>
        <v>FINALIZADA</v>
      </c>
      <c r="O30" s="18"/>
      <c r="P30" s="19"/>
    </row>
    <row r="31" spans="1:16" s="17" customFormat="1" ht="15" customHeight="1" thickBot="1" x14ac:dyDescent="0.3">
      <c r="A31" s="9"/>
      <c r="B31" s="10" t="s">
        <v>18</v>
      </c>
      <c r="C31" s="11" t="s">
        <v>19</v>
      </c>
      <c r="D31" s="12" t="s">
        <v>73</v>
      </c>
      <c r="E31" s="13">
        <v>30</v>
      </c>
      <c r="F31" s="13"/>
      <c r="G31" s="14" t="s">
        <v>30</v>
      </c>
      <c r="H31" s="14" t="s">
        <v>31</v>
      </c>
      <c r="I31" s="14" t="s">
        <v>32</v>
      </c>
      <c r="J31" s="15" t="s">
        <v>16</v>
      </c>
      <c r="K31" s="23"/>
      <c r="L31" s="16">
        <v>46064</v>
      </c>
      <c r="M31" s="16">
        <v>46064</v>
      </c>
      <c r="N31" s="16" t="str">
        <f t="shared" ca="1" si="0"/>
        <v>FINALIZADA</v>
      </c>
      <c r="O31" s="18"/>
      <c r="P31" s="19"/>
    </row>
    <row r="32" spans="1:16" s="17" customFormat="1" ht="15" customHeight="1" thickBot="1" x14ac:dyDescent="0.3">
      <c r="A32" s="9"/>
      <c r="B32" s="10" t="s">
        <v>18</v>
      </c>
      <c r="C32" s="11" t="s">
        <v>19</v>
      </c>
      <c r="D32" s="12" t="s">
        <v>74</v>
      </c>
      <c r="E32" s="13">
        <v>31</v>
      </c>
      <c r="F32" s="13"/>
      <c r="G32" s="14" t="s">
        <v>39</v>
      </c>
      <c r="H32" s="14" t="s">
        <v>40</v>
      </c>
      <c r="I32" s="14" t="s">
        <v>41</v>
      </c>
      <c r="J32" s="15" t="s">
        <v>16</v>
      </c>
      <c r="K32" s="23"/>
      <c r="L32" s="16">
        <v>46064</v>
      </c>
      <c r="M32" s="16">
        <v>46064</v>
      </c>
      <c r="N32" s="16" t="str">
        <f t="shared" ca="1" si="0"/>
        <v>FINALIZADA</v>
      </c>
      <c r="O32" s="18" t="s">
        <v>75</v>
      </c>
      <c r="P32" s="19"/>
    </row>
    <row r="33" spans="1:16" s="17" customFormat="1" ht="15" customHeight="1" thickBot="1" x14ac:dyDescent="0.3">
      <c r="A33" s="9"/>
      <c r="B33" s="10" t="s">
        <v>18</v>
      </c>
      <c r="C33" s="11" t="s">
        <v>19</v>
      </c>
      <c r="D33" s="12" t="s">
        <v>76</v>
      </c>
      <c r="E33" s="13">
        <v>32</v>
      </c>
      <c r="F33" s="13"/>
      <c r="G33" s="14" t="s">
        <v>77</v>
      </c>
      <c r="H33" s="14" t="s">
        <v>78</v>
      </c>
      <c r="I33" s="14" t="s">
        <v>79</v>
      </c>
      <c r="J33" s="15" t="s">
        <v>16</v>
      </c>
      <c r="K33" s="23"/>
      <c r="L33" s="16">
        <v>46064</v>
      </c>
      <c r="M33" s="16">
        <v>46064</v>
      </c>
      <c r="N33" s="16" t="str">
        <f t="shared" ca="1" si="0"/>
        <v>FINALIZADA</v>
      </c>
      <c r="O33" s="18"/>
      <c r="P33" s="19"/>
    </row>
    <row r="34" spans="1:16" s="17" customFormat="1" ht="15" customHeight="1" thickBot="1" x14ac:dyDescent="0.3">
      <c r="A34" s="9"/>
      <c r="B34" s="10" t="s">
        <v>18</v>
      </c>
      <c r="C34" s="11" t="s">
        <v>19</v>
      </c>
      <c r="D34" s="12" t="s">
        <v>80</v>
      </c>
      <c r="E34" s="13">
        <v>33</v>
      </c>
      <c r="F34" s="13"/>
      <c r="G34" s="14" t="s">
        <v>22</v>
      </c>
      <c r="H34" s="14" t="s">
        <v>23</v>
      </c>
      <c r="I34" s="14" t="s">
        <v>24</v>
      </c>
      <c r="J34" s="15" t="s">
        <v>16</v>
      </c>
      <c r="K34" s="23"/>
      <c r="L34" s="16">
        <v>46064</v>
      </c>
      <c r="M34" s="16">
        <v>46064</v>
      </c>
      <c r="N34" s="16" t="str">
        <f t="shared" ca="1" si="0"/>
        <v>FINALIZADA</v>
      </c>
      <c r="O34" s="18"/>
      <c r="P34" s="19"/>
    </row>
    <row r="35" spans="1:16" s="17" customFormat="1" ht="15" customHeight="1" thickBot="1" x14ac:dyDescent="0.3">
      <c r="A35" s="9"/>
      <c r="B35" s="10" t="s">
        <v>18</v>
      </c>
      <c r="C35" s="11" t="s">
        <v>19</v>
      </c>
      <c r="D35" s="12" t="s">
        <v>81</v>
      </c>
      <c r="E35" s="13">
        <v>34</v>
      </c>
      <c r="F35" s="13"/>
      <c r="G35" s="14" t="s">
        <v>44</v>
      </c>
      <c r="H35" s="14" t="s">
        <v>45</v>
      </c>
      <c r="I35" s="14" t="s">
        <v>46</v>
      </c>
      <c r="J35" s="15" t="s">
        <v>16</v>
      </c>
      <c r="K35" s="23"/>
      <c r="L35" s="16">
        <v>46064</v>
      </c>
      <c r="M35" s="16">
        <v>46064</v>
      </c>
      <c r="N35" s="16" t="str">
        <f t="shared" ca="1" si="0"/>
        <v>FINALIZADA</v>
      </c>
      <c r="O35" s="18"/>
      <c r="P35" s="19"/>
    </row>
    <row r="36" spans="1:16" s="17" customFormat="1" ht="15" customHeight="1" thickBot="1" x14ac:dyDescent="0.3">
      <c r="A36" s="9"/>
      <c r="B36" s="10" t="s">
        <v>18</v>
      </c>
      <c r="C36" s="11" t="s">
        <v>19</v>
      </c>
      <c r="D36" s="12" t="s">
        <v>82</v>
      </c>
      <c r="E36" s="13">
        <v>35</v>
      </c>
      <c r="F36" s="13" t="str">
        <f>_xlfn.TEXTJOIN("; ", TRUE, E30:E35)</f>
        <v>29; 30; 31; 32; 33; 34</v>
      </c>
      <c r="G36" s="14" t="s">
        <v>83</v>
      </c>
      <c r="H36" s="14" t="s">
        <v>69</v>
      </c>
      <c r="I36" s="14" t="s">
        <v>84</v>
      </c>
      <c r="J36" s="15" t="s">
        <v>16</v>
      </c>
      <c r="K36" s="23"/>
      <c r="L36" s="16">
        <v>46064</v>
      </c>
      <c r="M36" s="16">
        <v>46066</v>
      </c>
      <c r="N36" s="16" t="str">
        <f t="shared" ca="1" si="0"/>
        <v>FINALIZADA</v>
      </c>
      <c r="O36" s="18"/>
      <c r="P36" s="19"/>
    </row>
    <row r="37" spans="1:16" s="17" customFormat="1" ht="15" customHeight="1" thickBot="1" x14ac:dyDescent="0.3">
      <c r="A37" s="9"/>
      <c r="B37" s="10" t="s">
        <v>18</v>
      </c>
      <c r="C37" s="11" t="s">
        <v>19</v>
      </c>
      <c r="D37" s="12" t="s">
        <v>85</v>
      </c>
      <c r="E37" s="13">
        <v>36</v>
      </c>
      <c r="F37" s="13">
        <f>E36</f>
        <v>35</v>
      </c>
      <c r="G37" s="14" t="s">
        <v>25</v>
      </c>
      <c r="H37" s="14" t="s">
        <v>26</v>
      </c>
      <c r="I37" s="14" t="s">
        <v>27</v>
      </c>
      <c r="J37" s="15" t="s">
        <v>16</v>
      </c>
      <c r="K37" s="23"/>
      <c r="L37" s="16">
        <v>46065</v>
      </c>
      <c r="M37" s="16">
        <v>46066</v>
      </c>
      <c r="N37" s="16" t="str">
        <f t="shared" ca="1" si="0"/>
        <v>FINALIZADA</v>
      </c>
      <c r="O37" s="18"/>
      <c r="P37" s="19"/>
    </row>
    <row r="38" spans="1:16" s="17" customFormat="1" ht="15" customHeight="1" thickBot="1" x14ac:dyDescent="0.3">
      <c r="A38" s="9"/>
      <c r="B38" s="10" t="s">
        <v>18</v>
      </c>
      <c r="C38" s="11" t="s">
        <v>19</v>
      </c>
      <c r="D38" s="12" t="s">
        <v>86</v>
      </c>
      <c r="E38" s="13">
        <v>37</v>
      </c>
      <c r="F38" s="13">
        <f>E36</f>
        <v>35</v>
      </c>
      <c r="G38" s="14" t="s">
        <v>30</v>
      </c>
      <c r="H38" s="14" t="s">
        <v>31</v>
      </c>
      <c r="I38" s="14" t="s">
        <v>32</v>
      </c>
      <c r="J38" s="15" t="s">
        <v>16</v>
      </c>
      <c r="K38" s="23"/>
      <c r="L38" s="16">
        <v>46065</v>
      </c>
      <c r="M38" s="16">
        <v>46066</v>
      </c>
      <c r="N38" s="16" t="str">
        <f t="shared" ca="1" si="0"/>
        <v>FINALIZADA</v>
      </c>
      <c r="O38" s="18"/>
      <c r="P38" s="19"/>
    </row>
    <row r="39" spans="1:16" s="17" customFormat="1" ht="15" customHeight="1" thickBot="1" x14ac:dyDescent="0.3">
      <c r="A39" s="9"/>
      <c r="B39" s="10" t="s">
        <v>18</v>
      </c>
      <c r="C39" s="11" t="s">
        <v>19</v>
      </c>
      <c r="D39" s="12" t="s">
        <v>87</v>
      </c>
      <c r="E39" s="13">
        <v>38</v>
      </c>
      <c r="F39" s="13">
        <f>E36</f>
        <v>35</v>
      </c>
      <c r="G39" s="14" t="s">
        <v>39</v>
      </c>
      <c r="H39" s="14" t="s">
        <v>40</v>
      </c>
      <c r="I39" s="14" t="s">
        <v>41</v>
      </c>
      <c r="J39" s="15" t="s">
        <v>16</v>
      </c>
      <c r="K39" s="23"/>
      <c r="L39" s="16">
        <v>46065</v>
      </c>
      <c r="M39" s="16">
        <v>46066</v>
      </c>
      <c r="N39" s="16" t="str">
        <f t="shared" ca="1" si="0"/>
        <v>FINALIZADA</v>
      </c>
      <c r="O39" s="18" t="s">
        <v>88</v>
      </c>
      <c r="P39" s="19"/>
    </row>
    <row r="40" spans="1:16" s="17" customFormat="1" ht="15" customHeight="1" thickBot="1" x14ac:dyDescent="0.3">
      <c r="A40" s="9"/>
      <c r="B40" s="10" t="s">
        <v>18</v>
      </c>
      <c r="C40" s="11" t="s">
        <v>19</v>
      </c>
      <c r="D40" s="12" t="s">
        <v>89</v>
      </c>
      <c r="E40" s="13">
        <v>39</v>
      </c>
      <c r="F40" s="13">
        <f>E36</f>
        <v>35</v>
      </c>
      <c r="G40" s="14" t="s">
        <v>22</v>
      </c>
      <c r="H40" s="14" t="s">
        <v>23</v>
      </c>
      <c r="I40" s="14" t="s">
        <v>24</v>
      </c>
      <c r="J40" s="15" t="s">
        <v>16</v>
      </c>
      <c r="K40" s="23"/>
      <c r="L40" s="16">
        <v>46065</v>
      </c>
      <c r="M40" s="16">
        <v>46066</v>
      </c>
      <c r="N40" s="16" t="str">
        <f t="shared" ca="1" si="0"/>
        <v>FINALIZADA</v>
      </c>
      <c r="O40" s="18"/>
      <c r="P40" s="19"/>
    </row>
    <row r="41" spans="1:16" s="17" customFormat="1" ht="15" customHeight="1" thickBot="1" x14ac:dyDescent="0.3">
      <c r="A41" s="9"/>
      <c r="B41" s="10" t="s">
        <v>18</v>
      </c>
      <c r="C41" s="11" t="s">
        <v>19</v>
      </c>
      <c r="D41" s="12" t="s">
        <v>90</v>
      </c>
      <c r="E41" s="13">
        <v>40</v>
      </c>
      <c r="F41" s="13">
        <f>E36</f>
        <v>35</v>
      </c>
      <c r="G41" s="14" t="s">
        <v>44</v>
      </c>
      <c r="H41" s="14" t="s">
        <v>45</v>
      </c>
      <c r="I41" s="14" t="s">
        <v>46</v>
      </c>
      <c r="J41" s="15" t="s">
        <v>16</v>
      </c>
      <c r="K41" s="23"/>
      <c r="L41" s="16">
        <v>46065</v>
      </c>
      <c r="M41" s="16">
        <v>46066</v>
      </c>
      <c r="N41" s="16" t="str">
        <f t="shared" ca="1" si="0"/>
        <v>FINALIZADA</v>
      </c>
      <c r="O41" s="18"/>
      <c r="P41" s="19"/>
    </row>
    <row r="42" spans="1:16" s="17" customFormat="1" ht="15" customHeight="1" thickBot="1" x14ac:dyDescent="0.3">
      <c r="A42" s="9"/>
      <c r="B42" s="10" t="s">
        <v>18</v>
      </c>
      <c r="C42" s="11" t="s">
        <v>19</v>
      </c>
      <c r="D42" s="12" t="s">
        <v>91</v>
      </c>
      <c r="E42" s="13">
        <v>41</v>
      </c>
      <c r="F42" s="13"/>
      <c r="G42" s="14" t="s">
        <v>83</v>
      </c>
      <c r="H42" s="14" t="s">
        <v>69</v>
      </c>
      <c r="I42" s="14" t="s">
        <v>84</v>
      </c>
      <c r="J42" s="15" t="s">
        <v>16</v>
      </c>
      <c r="K42" s="23"/>
      <c r="L42" s="16">
        <v>46065</v>
      </c>
      <c r="M42" s="16">
        <v>46066</v>
      </c>
      <c r="N42" s="16" t="str">
        <f t="shared" ca="1" si="0"/>
        <v>FINALIZADA</v>
      </c>
      <c r="O42" s="18"/>
      <c r="P42" s="19"/>
    </row>
    <row r="43" spans="1:16" s="17" customFormat="1" ht="15" customHeight="1" thickBot="1" x14ac:dyDescent="0.3">
      <c r="A43" s="9"/>
      <c r="B43" s="10" t="s">
        <v>18</v>
      </c>
      <c r="C43" s="11" t="s">
        <v>19</v>
      </c>
      <c r="D43" s="12" t="s">
        <v>91</v>
      </c>
      <c r="E43" s="13">
        <v>42</v>
      </c>
      <c r="F43" s="13"/>
      <c r="G43" s="14" t="s">
        <v>25</v>
      </c>
      <c r="H43" s="14" t="s">
        <v>26</v>
      </c>
      <c r="I43" s="14" t="s">
        <v>27</v>
      </c>
      <c r="J43" s="15" t="s">
        <v>16</v>
      </c>
      <c r="K43" s="23"/>
      <c r="L43" s="16">
        <v>46065</v>
      </c>
      <c r="M43" s="16">
        <v>46066</v>
      </c>
      <c r="N43" s="16" t="str">
        <f t="shared" ca="1" si="0"/>
        <v>FINALIZADA</v>
      </c>
      <c r="O43" s="18"/>
      <c r="P43" s="19"/>
    </row>
    <row r="44" spans="1:16" s="17" customFormat="1" ht="15" customHeight="1" thickBot="1" x14ac:dyDescent="0.3">
      <c r="A44" s="9"/>
      <c r="B44" s="10" t="s">
        <v>18</v>
      </c>
      <c r="C44" s="11" t="s">
        <v>19</v>
      </c>
      <c r="D44" s="12" t="s">
        <v>92</v>
      </c>
      <c r="E44" s="13">
        <v>43</v>
      </c>
      <c r="F44" s="13"/>
      <c r="G44" s="14" t="s">
        <v>83</v>
      </c>
      <c r="H44" s="14" t="s">
        <v>69</v>
      </c>
      <c r="I44" s="14" t="s">
        <v>84</v>
      </c>
      <c r="J44" s="15" t="s">
        <v>16</v>
      </c>
      <c r="K44" s="23"/>
      <c r="L44" s="16">
        <v>46065</v>
      </c>
      <c r="M44" s="16">
        <v>46066</v>
      </c>
      <c r="N44" s="16" t="str">
        <f t="shared" ca="1" si="0"/>
        <v>FINALIZADA</v>
      </c>
      <c r="O44" s="18"/>
      <c r="P44" s="19"/>
    </row>
    <row r="45" spans="1:16" s="17" customFormat="1" ht="15" customHeight="1" thickBot="1" x14ac:dyDescent="0.3">
      <c r="A45" s="9"/>
      <c r="B45" s="10" t="s">
        <v>18</v>
      </c>
      <c r="C45" s="11" t="s">
        <v>19</v>
      </c>
      <c r="D45" s="12" t="s">
        <v>92</v>
      </c>
      <c r="E45" s="13">
        <v>44</v>
      </c>
      <c r="F45" s="13"/>
      <c r="G45" s="14" t="s">
        <v>30</v>
      </c>
      <c r="H45" s="14" t="s">
        <v>31</v>
      </c>
      <c r="I45" s="14" t="s">
        <v>32</v>
      </c>
      <c r="J45" s="15" t="s">
        <v>16</v>
      </c>
      <c r="K45" s="23"/>
      <c r="L45" s="16">
        <v>46065</v>
      </c>
      <c r="M45" s="16">
        <v>46066</v>
      </c>
      <c r="N45" s="16" t="str">
        <f t="shared" ca="1" si="0"/>
        <v>FINALIZADA</v>
      </c>
      <c r="O45" s="18"/>
      <c r="P45" s="19"/>
    </row>
    <row r="46" spans="1:16" s="17" customFormat="1" ht="15" customHeight="1" thickBot="1" x14ac:dyDescent="0.3">
      <c r="A46" s="9"/>
      <c r="B46" s="10" t="s">
        <v>18</v>
      </c>
      <c r="C46" s="11" t="s">
        <v>19</v>
      </c>
      <c r="D46" s="12" t="s">
        <v>93</v>
      </c>
      <c r="E46" s="13">
        <v>45</v>
      </c>
      <c r="F46" s="13"/>
      <c r="G46" s="14" t="s">
        <v>83</v>
      </c>
      <c r="H46" s="14" t="s">
        <v>69</v>
      </c>
      <c r="I46" s="14" t="s">
        <v>84</v>
      </c>
      <c r="J46" s="15" t="s">
        <v>16</v>
      </c>
      <c r="K46" s="23"/>
      <c r="L46" s="16">
        <v>46065</v>
      </c>
      <c r="M46" s="16">
        <v>46066</v>
      </c>
      <c r="N46" s="16" t="str">
        <f t="shared" ca="1" si="0"/>
        <v>FINALIZADA</v>
      </c>
      <c r="O46" s="18"/>
      <c r="P46" s="19"/>
    </row>
    <row r="47" spans="1:16" s="17" customFormat="1" ht="15" customHeight="1" thickBot="1" x14ac:dyDescent="0.3">
      <c r="A47" s="9"/>
      <c r="B47" s="10" t="s">
        <v>18</v>
      </c>
      <c r="C47" s="11" t="s">
        <v>19</v>
      </c>
      <c r="D47" s="12" t="s">
        <v>93</v>
      </c>
      <c r="E47" s="13">
        <v>46</v>
      </c>
      <c r="F47" s="13"/>
      <c r="G47" s="14" t="s">
        <v>39</v>
      </c>
      <c r="H47" s="14" t="s">
        <v>40</v>
      </c>
      <c r="I47" s="14" t="s">
        <v>41</v>
      </c>
      <c r="J47" s="15" t="s">
        <v>16</v>
      </c>
      <c r="K47" s="23"/>
      <c r="L47" s="16">
        <v>46065</v>
      </c>
      <c r="M47" s="16">
        <v>46066</v>
      </c>
      <c r="N47" s="16" t="str">
        <f t="shared" ca="1" si="0"/>
        <v>FINALIZADA</v>
      </c>
      <c r="O47" s="18" t="s">
        <v>94</v>
      </c>
      <c r="P47" s="19"/>
    </row>
    <row r="48" spans="1:16" s="17" customFormat="1" ht="15" customHeight="1" thickBot="1" x14ac:dyDescent="0.3">
      <c r="A48" s="9"/>
      <c r="B48" s="10" t="s">
        <v>18</v>
      </c>
      <c r="C48" s="11" t="s">
        <v>19</v>
      </c>
      <c r="D48" s="12" t="s">
        <v>95</v>
      </c>
      <c r="E48" s="13">
        <v>47</v>
      </c>
      <c r="F48" s="13"/>
      <c r="G48" s="14" t="s">
        <v>83</v>
      </c>
      <c r="H48" s="14" t="s">
        <v>69</v>
      </c>
      <c r="I48" s="14" t="s">
        <v>84</v>
      </c>
      <c r="J48" s="15" t="s">
        <v>16</v>
      </c>
      <c r="K48" s="23"/>
      <c r="L48" s="16">
        <v>46065</v>
      </c>
      <c r="M48" s="16">
        <v>46066</v>
      </c>
      <c r="N48" s="16" t="str">
        <f t="shared" ca="1" si="0"/>
        <v>FINALIZADA</v>
      </c>
      <c r="O48" s="18"/>
      <c r="P48" s="19"/>
    </row>
    <row r="49" spans="1:16" s="17" customFormat="1" ht="15" customHeight="1" thickBot="1" x14ac:dyDescent="0.3">
      <c r="A49" s="9"/>
      <c r="B49" s="10" t="s">
        <v>18</v>
      </c>
      <c r="C49" s="11" t="s">
        <v>19</v>
      </c>
      <c r="D49" s="12" t="s">
        <v>95</v>
      </c>
      <c r="E49" s="13">
        <v>48</v>
      </c>
      <c r="F49" s="13"/>
      <c r="G49" s="14" t="s">
        <v>22</v>
      </c>
      <c r="H49" s="14" t="s">
        <v>23</v>
      </c>
      <c r="I49" s="14" t="s">
        <v>29</v>
      </c>
      <c r="J49" s="15" t="s">
        <v>16</v>
      </c>
      <c r="K49" s="23"/>
      <c r="L49" s="16">
        <v>46065</v>
      </c>
      <c r="M49" s="16">
        <v>46066</v>
      </c>
      <c r="N49" s="16" t="str">
        <f t="shared" ca="1" si="0"/>
        <v>FINALIZADA</v>
      </c>
      <c r="O49" s="18"/>
      <c r="P49" s="19"/>
    </row>
    <row r="50" spans="1:16" s="17" customFormat="1" ht="15" customHeight="1" thickBot="1" x14ac:dyDescent="0.3">
      <c r="A50" s="9"/>
      <c r="B50" s="10" t="s">
        <v>18</v>
      </c>
      <c r="C50" s="11" t="s">
        <v>19</v>
      </c>
      <c r="D50" s="12" t="s">
        <v>96</v>
      </c>
      <c r="E50" s="13">
        <v>49</v>
      </c>
      <c r="F50" s="13"/>
      <c r="G50" s="14" t="s">
        <v>83</v>
      </c>
      <c r="H50" s="14" t="s">
        <v>69</v>
      </c>
      <c r="I50" s="14" t="s">
        <v>84</v>
      </c>
      <c r="J50" s="15" t="s">
        <v>16</v>
      </c>
      <c r="K50" s="23"/>
      <c r="L50" s="16">
        <v>46065</v>
      </c>
      <c r="M50" s="16">
        <v>46066</v>
      </c>
      <c r="N50" s="16" t="str">
        <f t="shared" ca="1" si="0"/>
        <v>FINALIZADA</v>
      </c>
      <c r="O50" s="18"/>
      <c r="P50" s="19"/>
    </row>
    <row r="51" spans="1:16" s="17" customFormat="1" ht="15" customHeight="1" thickBot="1" x14ac:dyDescent="0.3">
      <c r="A51" s="9"/>
      <c r="B51" s="10" t="s">
        <v>18</v>
      </c>
      <c r="C51" s="11" t="s">
        <v>19</v>
      </c>
      <c r="D51" s="12" t="s">
        <v>96</v>
      </c>
      <c r="E51" s="13">
        <v>50</v>
      </c>
      <c r="F51" s="13"/>
      <c r="G51" s="14" t="s">
        <v>44</v>
      </c>
      <c r="H51" s="14" t="s">
        <v>45</v>
      </c>
      <c r="I51" s="14" t="s">
        <v>46</v>
      </c>
      <c r="J51" s="15" t="s">
        <v>16</v>
      </c>
      <c r="K51" s="23"/>
      <c r="L51" s="16">
        <v>46065</v>
      </c>
      <c r="M51" s="16">
        <v>46066</v>
      </c>
      <c r="N51" s="16" t="str">
        <f t="shared" ca="1" si="0"/>
        <v>FINALIZADA</v>
      </c>
      <c r="O51" s="18"/>
      <c r="P51" s="19"/>
    </row>
    <row r="52" spans="1:16" s="17" customFormat="1" ht="15" customHeight="1" thickBot="1" x14ac:dyDescent="0.3">
      <c r="A52" s="9"/>
      <c r="B52" s="10" t="s">
        <v>18</v>
      </c>
      <c r="C52" s="11" t="s">
        <v>19</v>
      </c>
      <c r="D52" s="12" t="s">
        <v>97</v>
      </c>
      <c r="E52" s="13">
        <v>51</v>
      </c>
      <c r="F52" s="13" t="str">
        <f>_xlfn.TEXTJOIN("; ", TRUE, E42:E51)</f>
        <v>41; 42; 43; 44; 45; 46; 47; 48; 49; 50</v>
      </c>
      <c r="G52" s="14" t="s">
        <v>22</v>
      </c>
      <c r="H52" s="14" t="s">
        <v>23</v>
      </c>
      <c r="I52" s="14" t="s">
        <v>29</v>
      </c>
      <c r="J52" s="15" t="s">
        <v>16</v>
      </c>
      <c r="K52" s="23"/>
      <c r="L52" s="16">
        <v>46065</v>
      </c>
      <c r="M52" s="16">
        <v>46066</v>
      </c>
      <c r="N52" s="16" t="str">
        <f t="shared" ca="1" si="0"/>
        <v>FINALIZADA</v>
      </c>
      <c r="O52" s="18"/>
      <c r="P52" s="19"/>
    </row>
    <row r="53" spans="1:16" s="17" customFormat="1" ht="15" customHeight="1" thickBot="1" x14ac:dyDescent="0.3">
      <c r="A53" s="9"/>
      <c r="B53" s="10" t="s">
        <v>18</v>
      </c>
      <c r="C53" s="11" t="s">
        <v>19</v>
      </c>
      <c r="D53" s="12" t="s">
        <v>98</v>
      </c>
      <c r="E53" s="13">
        <v>52</v>
      </c>
      <c r="F53" s="13"/>
      <c r="G53" s="14" t="s">
        <v>22</v>
      </c>
      <c r="H53" s="14" t="s">
        <v>23</v>
      </c>
      <c r="I53" s="14" t="s">
        <v>48</v>
      </c>
      <c r="J53" s="15" t="s">
        <v>16</v>
      </c>
      <c r="K53" s="23"/>
      <c r="L53" s="16">
        <v>46044.375</v>
      </c>
      <c r="M53" s="16">
        <v>46044.375</v>
      </c>
      <c r="N53" s="16" t="str">
        <f t="shared" ca="1" si="0"/>
        <v>FINALIZADA</v>
      </c>
      <c r="O53" s="18"/>
      <c r="P53" s="19"/>
    </row>
    <row r="54" spans="1:16" s="17" customFormat="1" ht="15" customHeight="1" thickBot="1" x14ac:dyDescent="0.3">
      <c r="A54" s="9"/>
      <c r="B54" s="10" t="s">
        <v>18</v>
      </c>
      <c r="C54" s="11" t="s">
        <v>19</v>
      </c>
      <c r="D54" s="12" t="s">
        <v>99</v>
      </c>
      <c r="E54" s="13">
        <v>53</v>
      </c>
      <c r="F54" s="13"/>
      <c r="G54" s="14" t="s">
        <v>22</v>
      </c>
      <c r="H54" s="14" t="s">
        <v>23</v>
      </c>
      <c r="I54" s="14" t="s">
        <v>48</v>
      </c>
      <c r="J54" s="15" t="s">
        <v>16</v>
      </c>
      <c r="K54" s="23"/>
      <c r="L54" s="16">
        <v>46058.375</v>
      </c>
      <c r="M54" s="16">
        <v>46058.375</v>
      </c>
      <c r="N54" s="16" t="str">
        <f t="shared" ca="1" si="0"/>
        <v>FINALIZADA</v>
      </c>
      <c r="O54" s="18"/>
      <c r="P54" s="19"/>
    </row>
    <row r="55" spans="1:16" s="17" customFormat="1" ht="15" customHeight="1" thickBot="1" x14ac:dyDescent="0.3">
      <c r="A55" s="9"/>
      <c r="B55" s="10" t="s">
        <v>18</v>
      </c>
      <c r="C55" s="11" t="s">
        <v>19</v>
      </c>
      <c r="D55" s="12" t="s">
        <v>100</v>
      </c>
      <c r="E55" s="13">
        <v>54</v>
      </c>
      <c r="F55" s="13">
        <f>E53</f>
        <v>52</v>
      </c>
      <c r="G55" s="14" t="s">
        <v>50</v>
      </c>
      <c r="H55" s="14" t="s">
        <v>51</v>
      </c>
      <c r="I55" s="14" t="s">
        <v>101</v>
      </c>
      <c r="J55" s="15" t="s">
        <v>16</v>
      </c>
      <c r="K55" s="23"/>
      <c r="L55" s="16">
        <v>46048.375</v>
      </c>
      <c r="M55" s="16">
        <v>46049.375</v>
      </c>
      <c r="N55" s="16" t="str">
        <f t="shared" ca="1" si="0"/>
        <v>FINALIZADA</v>
      </c>
      <c r="O55" s="18"/>
      <c r="P55" s="19"/>
    </row>
    <row r="56" spans="1:16" s="17" customFormat="1" ht="15" customHeight="1" thickBot="1" x14ac:dyDescent="0.3">
      <c r="A56" s="9"/>
      <c r="B56" s="10" t="s">
        <v>18</v>
      </c>
      <c r="C56" s="11" t="s">
        <v>19</v>
      </c>
      <c r="D56" s="12" t="s">
        <v>102</v>
      </c>
      <c r="E56" s="13">
        <v>55</v>
      </c>
      <c r="F56" s="13" t="str">
        <f>_xlfn.TEXTJOIN("; ", TRUE, E55:E55)</f>
        <v>54</v>
      </c>
      <c r="G56" s="14" t="s">
        <v>22</v>
      </c>
      <c r="H56" s="14" t="s">
        <v>23</v>
      </c>
      <c r="I56" s="14" t="s">
        <v>24</v>
      </c>
      <c r="J56" s="15" t="s">
        <v>16</v>
      </c>
      <c r="K56" s="23"/>
      <c r="L56" s="16">
        <v>46065</v>
      </c>
      <c r="M56" s="16">
        <v>46065</v>
      </c>
      <c r="N56" s="16" t="str">
        <f t="shared" ref="N56:N84" ca="1" si="1">IF(J56="", "", IF(J56="CONCLUÍDO", "FINALIZADA", IF(M56&lt;TODAY(), "ATRASADA", IF(M56=TODAY(), "VENCENDO", IF(M56&gt;TODAY(), "VIGENTE", "")))))</f>
        <v>FINALIZADA</v>
      </c>
      <c r="O56" s="18"/>
      <c r="P56" s="19"/>
    </row>
    <row r="57" spans="1:16" s="17" customFormat="1" ht="15" customHeight="1" thickBot="1" x14ac:dyDescent="0.3">
      <c r="A57" s="9"/>
      <c r="B57" s="10" t="s">
        <v>18</v>
      </c>
      <c r="C57" s="11" t="s">
        <v>19</v>
      </c>
      <c r="D57" s="12" t="s">
        <v>103</v>
      </c>
      <c r="E57" s="13">
        <v>56</v>
      </c>
      <c r="F57" s="13">
        <f>E56</f>
        <v>55</v>
      </c>
      <c r="G57" s="14" t="s">
        <v>50</v>
      </c>
      <c r="H57" s="14" t="s">
        <v>51</v>
      </c>
      <c r="I57" s="14" t="s">
        <v>104</v>
      </c>
      <c r="J57" s="15" t="s">
        <v>16</v>
      </c>
      <c r="K57" s="23"/>
      <c r="L57" s="16">
        <v>46065</v>
      </c>
      <c r="M57" s="16">
        <v>46066</v>
      </c>
      <c r="N57" s="16" t="str">
        <f t="shared" ca="1" si="1"/>
        <v>FINALIZADA</v>
      </c>
      <c r="O57" s="18"/>
      <c r="P57" s="19"/>
    </row>
    <row r="58" spans="1:16" s="17" customFormat="1" ht="15" customHeight="1" thickBot="1" x14ac:dyDescent="0.3">
      <c r="A58" s="9"/>
      <c r="B58" s="10" t="s">
        <v>18</v>
      </c>
      <c r="C58" s="11" t="s">
        <v>19</v>
      </c>
      <c r="D58" s="12" t="s">
        <v>105</v>
      </c>
      <c r="E58" s="13">
        <v>57</v>
      </c>
      <c r="F58" s="13">
        <f>E57</f>
        <v>56</v>
      </c>
      <c r="G58" s="14" t="s">
        <v>22</v>
      </c>
      <c r="H58" s="14" t="s">
        <v>23</v>
      </c>
      <c r="I58" s="14" t="s">
        <v>35</v>
      </c>
      <c r="J58" s="15" t="s">
        <v>16</v>
      </c>
      <c r="K58" s="23"/>
      <c r="L58" s="16">
        <v>46066</v>
      </c>
      <c r="M58" s="16">
        <v>46066</v>
      </c>
      <c r="N58" s="16" t="str">
        <f t="shared" ca="1" si="1"/>
        <v>FINALIZADA</v>
      </c>
      <c r="O58" s="18"/>
      <c r="P58" s="19"/>
    </row>
    <row r="59" spans="1:16" s="17" customFormat="1" ht="15" customHeight="1" thickBot="1" x14ac:dyDescent="0.3">
      <c r="A59" s="9"/>
      <c r="B59" s="10" t="s">
        <v>18</v>
      </c>
      <c r="C59" s="11" t="s">
        <v>19</v>
      </c>
      <c r="D59" s="12" t="s">
        <v>106</v>
      </c>
      <c r="E59" s="13">
        <v>58</v>
      </c>
      <c r="F59" s="13"/>
      <c r="G59" s="14" t="s">
        <v>22</v>
      </c>
      <c r="H59" s="14" t="s">
        <v>23</v>
      </c>
      <c r="I59" s="14" t="s">
        <v>107</v>
      </c>
      <c r="J59" s="15" t="s">
        <v>17</v>
      </c>
      <c r="K59" s="23"/>
      <c r="L59" s="16">
        <v>46066</v>
      </c>
      <c r="M59" s="16">
        <v>46073</v>
      </c>
      <c r="N59" s="16" t="str">
        <f t="shared" ca="1" si="1"/>
        <v>ATRASADA</v>
      </c>
      <c r="O59" s="18"/>
      <c r="P59" s="19"/>
    </row>
    <row r="60" spans="1:16" s="17" customFormat="1" ht="15" customHeight="1" thickBot="1" x14ac:dyDescent="0.3">
      <c r="A60" s="9"/>
      <c r="B60" s="10" t="s">
        <v>18</v>
      </c>
      <c r="C60" s="11" t="s">
        <v>19</v>
      </c>
      <c r="D60" s="12" t="s">
        <v>108</v>
      </c>
      <c r="E60" s="13">
        <v>59</v>
      </c>
      <c r="F60" s="13"/>
      <c r="G60" s="14" t="s">
        <v>22</v>
      </c>
      <c r="H60" s="14" t="s">
        <v>23</v>
      </c>
      <c r="I60" s="14" t="s">
        <v>35</v>
      </c>
      <c r="J60" s="15" t="s">
        <v>17</v>
      </c>
      <c r="K60" s="23"/>
      <c r="L60" s="16">
        <v>46066</v>
      </c>
      <c r="M60" s="16">
        <v>46073</v>
      </c>
      <c r="N60" s="16" t="str">
        <f t="shared" ca="1" si="1"/>
        <v>ATRASADA</v>
      </c>
      <c r="O60" s="18"/>
      <c r="P60" s="19"/>
    </row>
    <row r="61" spans="1:16" s="17" customFormat="1" ht="15" customHeight="1" thickBot="1" x14ac:dyDescent="0.3">
      <c r="A61" s="9"/>
      <c r="B61" s="10" t="s">
        <v>18</v>
      </c>
      <c r="C61" s="11" t="s">
        <v>19</v>
      </c>
      <c r="D61" s="12" t="s">
        <v>109</v>
      </c>
      <c r="E61" s="13">
        <v>60</v>
      </c>
      <c r="F61" s="13" t="str">
        <f>_xlfn.TEXTJOIN("; ", TRUE, E69:E70)</f>
        <v>68; 69</v>
      </c>
      <c r="G61" s="14" t="s">
        <v>22</v>
      </c>
      <c r="H61" s="14" t="s">
        <v>23</v>
      </c>
      <c r="I61" s="14" t="s">
        <v>107</v>
      </c>
      <c r="J61" s="15" t="s">
        <v>17</v>
      </c>
      <c r="K61" s="23"/>
      <c r="L61" s="16">
        <v>46065</v>
      </c>
      <c r="M61" s="16">
        <v>46073</v>
      </c>
      <c r="N61" s="16" t="str">
        <f t="shared" ca="1" si="1"/>
        <v>ATRASADA</v>
      </c>
      <c r="O61" s="18"/>
      <c r="P61" s="19"/>
    </row>
    <row r="62" spans="1:16" s="17" customFormat="1" ht="15" customHeight="1" thickBot="1" x14ac:dyDescent="0.3">
      <c r="A62" s="9"/>
      <c r="B62" s="10" t="s">
        <v>18</v>
      </c>
      <c r="C62" s="11" t="s">
        <v>19</v>
      </c>
      <c r="D62" s="12" t="s">
        <v>110</v>
      </c>
      <c r="E62" s="13">
        <v>61</v>
      </c>
      <c r="F62" s="13"/>
      <c r="G62" s="14" t="s">
        <v>22</v>
      </c>
      <c r="H62" s="14" t="s">
        <v>23</v>
      </c>
      <c r="I62" s="14" t="s">
        <v>107</v>
      </c>
      <c r="J62" s="15" t="s">
        <v>17</v>
      </c>
      <c r="K62" s="23"/>
      <c r="L62" s="16">
        <v>46066</v>
      </c>
      <c r="M62" s="16">
        <v>46073</v>
      </c>
      <c r="N62" s="16" t="str">
        <f t="shared" ca="1" si="1"/>
        <v>ATRASADA</v>
      </c>
      <c r="O62" s="18"/>
      <c r="P62" s="19"/>
    </row>
    <row r="63" spans="1:16" s="17" customFormat="1" ht="15" customHeight="1" thickBot="1" x14ac:dyDescent="0.3">
      <c r="A63" s="9"/>
      <c r="B63" s="10" t="s">
        <v>18</v>
      </c>
      <c r="C63" s="11" t="s">
        <v>19</v>
      </c>
      <c r="D63" s="12" t="s">
        <v>111</v>
      </c>
      <c r="E63" s="13">
        <v>62</v>
      </c>
      <c r="F63" s="13"/>
      <c r="G63" s="14" t="s">
        <v>22</v>
      </c>
      <c r="H63" s="14" t="s">
        <v>23</v>
      </c>
      <c r="I63" s="14" t="s">
        <v>107</v>
      </c>
      <c r="J63" s="15" t="s">
        <v>17</v>
      </c>
      <c r="K63" s="23"/>
      <c r="L63" s="16">
        <v>46066</v>
      </c>
      <c r="M63" s="16">
        <v>46073</v>
      </c>
      <c r="N63" s="16" t="str">
        <f t="shared" ca="1" si="1"/>
        <v>ATRASADA</v>
      </c>
      <c r="O63" s="18"/>
      <c r="P63" s="19"/>
    </row>
    <row r="64" spans="1:16" s="17" customFormat="1" ht="15" customHeight="1" thickBot="1" x14ac:dyDescent="0.3">
      <c r="A64" s="9"/>
      <c r="B64" s="10" t="s">
        <v>18</v>
      </c>
      <c r="C64" s="11" t="s">
        <v>19</v>
      </c>
      <c r="D64" s="12" t="s">
        <v>112</v>
      </c>
      <c r="E64" s="13">
        <v>63</v>
      </c>
      <c r="F64" s="13" t="str">
        <f>_xlfn.TEXTJOIN("; ", TRUE, E66:E68)</f>
        <v>65; 66; 67</v>
      </c>
      <c r="G64" s="14" t="s">
        <v>25</v>
      </c>
      <c r="H64" s="14" t="s">
        <v>26</v>
      </c>
      <c r="I64" s="14" t="s">
        <v>27</v>
      </c>
      <c r="J64" s="15" t="s">
        <v>17</v>
      </c>
      <c r="K64" s="23"/>
      <c r="L64" s="16">
        <v>46071</v>
      </c>
      <c r="M64" s="16">
        <v>46073</v>
      </c>
      <c r="N64" s="16" t="str">
        <f t="shared" ca="1" si="1"/>
        <v>ATRASADA</v>
      </c>
      <c r="O64" s="18"/>
      <c r="P64" s="19"/>
    </row>
    <row r="65" spans="1:16" s="17" customFormat="1" ht="15" customHeight="1" thickBot="1" x14ac:dyDescent="0.3">
      <c r="A65" s="9"/>
      <c r="B65" s="10" t="s">
        <v>18</v>
      </c>
      <c r="C65" s="11" t="s">
        <v>19</v>
      </c>
      <c r="D65" s="12" t="s">
        <v>113</v>
      </c>
      <c r="E65" s="13">
        <v>64</v>
      </c>
      <c r="F65" s="13">
        <f>E64</f>
        <v>63</v>
      </c>
      <c r="G65" s="14" t="s">
        <v>114</v>
      </c>
      <c r="H65" s="14" t="s">
        <v>115</v>
      </c>
      <c r="I65" s="14" t="s">
        <v>116</v>
      </c>
      <c r="J65" s="15" t="s">
        <v>17</v>
      </c>
      <c r="K65" s="23"/>
      <c r="L65" s="16">
        <v>46064</v>
      </c>
      <c r="M65" s="16">
        <v>46066</v>
      </c>
      <c r="N65" s="16" t="str">
        <f t="shared" ca="1" si="1"/>
        <v>ATRASADA</v>
      </c>
      <c r="O65" s="18"/>
      <c r="P65" s="19"/>
    </row>
    <row r="66" spans="1:16" s="17" customFormat="1" ht="15" customHeight="1" thickBot="1" x14ac:dyDescent="0.3">
      <c r="A66" s="9"/>
      <c r="B66" s="10" t="s">
        <v>18</v>
      </c>
      <c r="C66" s="11" t="s">
        <v>19</v>
      </c>
      <c r="D66" s="12" t="s">
        <v>117</v>
      </c>
      <c r="E66" s="13">
        <v>65</v>
      </c>
      <c r="F66" s="13"/>
      <c r="G66" s="14" t="s">
        <v>22</v>
      </c>
      <c r="H66" s="14" t="s">
        <v>23</v>
      </c>
      <c r="I66" s="14" t="s">
        <v>107</v>
      </c>
      <c r="J66" s="15" t="s">
        <v>17</v>
      </c>
      <c r="K66" s="23" t="s">
        <v>21</v>
      </c>
      <c r="L66" s="16">
        <v>46071</v>
      </c>
      <c r="M66" s="16">
        <v>46073</v>
      </c>
      <c r="N66" s="16" t="str">
        <f t="shared" ca="1" si="1"/>
        <v>ATRASADA</v>
      </c>
      <c r="O66" s="18"/>
      <c r="P66" s="19"/>
    </row>
    <row r="67" spans="1:16" s="17" customFormat="1" ht="15" customHeight="1" thickBot="1" x14ac:dyDescent="0.3">
      <c r="A67" s="9"/>
      <c r="B67" s="10" t="s">
        <v>18</v>
      </c>
      <c r="C67" s="11" t="s">
        <v>19</v>
      </c>
      <c r="D67" s="12" t="s">
        <v>117</v>
      </c>
      <c r="E67" s="13">
        <v>66</v>
      </c>
      <c r="F67" s="13"/>
      <c r="G67" s="14" t="s">
        <v>25</v>
      </c>
      <c r="H67" s="14" t="s">
        <v>26</v>
      </c>
      <c r="I67" s="14" t="s">
        <v>27</v>
      </c>
      <c r="J67" s="15" t="s">
        <v>17</v>
      </c>
      <c r="K67" s="23" t="s">
        <v>21</v>
      </c>
      <c r="L67" s="16">
        <v>46071</v>
      </c>
      <c r="M67" s="16">
        <v>46073</v>
      </c>
      <c r="N67" s="16" t="str">
        <f t="shared" ca="1" si="1"/>
        <v>ATRASADA</v>
      </c>
      <c r="O67" s="18"/>
      <c r="P67" s="19"/>
    </row>
    <row r="68" spans="1:16" s="17" customFormat="1" ht="15" customHeight="1" thickBot="1" x14ac:dyDescent="0.3">
      <c r="A68" s="9"/>
      <c r="B68" s="10" t="s">
        <v>18</v>
      </c>
      <c r="C68" s="11" t="s">
        <v>19</v>
      </c>
      <c r="D68" s="12" t="s">
        <v>117</v>
      </c>
      <c r="E68" s="13">
        <v>67</v>
      </c>
      <c r="F68" s="13"/>
      <c r="G68" s="14" t="s">
        <v>50</v>
      </c>
      <c r="H68" s="14" t="s">
        <v>51</v>
      </c>
      <c r="I68" s="14" t="s">
        <v>104</v>
      </c>
      <c r="J68" s="15" t="s">
        <v>17</v>
      </c>
      <c r="K68" s="23" t="s">
        <v>21</v>
      </c>
      <c r="L68" s="16">
        <v>46071</v>
      </c>
      <c r="M68" s="16">
        <v>46073</v>
      </c>
      <c r="N68" s="16" t="str">
        <f t="shared" ca="1" si="1"/>
        <v>ATRASADA</v>
      </c>
      <c r="O68" s="18"/>
      <c r="P68" s="19"/>
    </row>
    <row r="69" spans="1:16" s="17" customFormat="1" ht="15" customHeight="1" thickBot="1" x14ac:dyDescent="0.3">
      <c r="A69" s="9"/>
      <c r="B69" s="10" t="s">
        <v>18</v>
      </c>
      <c r="C69" s="11" t="s">
        <v>19</v>
      </c>
      <c r="D69" s="12" t="s">
        <v>118</v>
      </c>
      <c r="E69" s="13">
        <v>68</v>
      </c>
      <c r="F69" s="13"/>
      <c r="G69" s="14" t="s">
        <v>22</v>
      </c>
      <c r="H69" s="14" t="s">
        <v>23</v>
      </c>
      <c r="I69" s="14" t="s">
        <v>107</v>
      </c>
      <c r="J69" s="15" t="s">
        <v>16</v>
      </c>
      <c r="K69" s="23"/>
      <c r="L69" s="16">
        <v>46064</v>
      </c>
      <c r="M69" s="16">
        <v>46064</v>
      </c>
      <c r="N69" s="16" t="str">
        <f t="shared" ca="1" si="1"/>
        <v>FINALIZADA</v>
      </c>
      <c r="O69" s="18"/>
      <c r="P69" s="19"/>
    </row>
    <row r="70" spans="1:16" s="17" customFormat="1" ht="15" customHeight="1" thickBot="1" x14ac:dyDescent="0.3">
      <c r="A70" s="9"/>
      <c r="B70" s="10" t="s">
        <v>18</v>
      </c>
      <c r="C70" s="11" t="s">
        <v>19</v>
      </c>
      <c r="D70" s="12" t="s">
        <v>119</v>
      </c>
      <c r="E70" s="13">
        <v>69</v>
      </c>
      <c r="F70" s="13">
        <f>E69</f>
        <v>68</v>
      </c>
      <c r="G70" s="14" t="s">
        <v>22</v>
      </c>
      <c r="H70" s="14" t="s">
        <v>23</v>
      </c>
      <c r="I70" s="14" t="s">
        <v>107</v>
      </c>
      <c r="J70" s="15" t="s">
        <v>16</v>
      </c>
      <c r="K70" s="23"/>
      <c r="L70" s="16">
        <v>46064</v>
      </c>
      <c r="M70" s="16">
        <v>46064</v>
      </c>
      <c r="N70" s="16" t="str">
        <f t="shared" ca="1" si="1"/>
        <v>FINALIZADA</v>
      </c>
      <c r="O70" s="18"/>
      <c r="P70" s="19"/>
    </row>
    <row r="71" spans="1:16" s="17" customFormat="1" ht="15" customHeight="1" thickBot="1" x14ac:dyDescent="0.3">
      <c r="A71" s="9"/>
      <c r="B71" s="10" t="s">
        <v>18</v>
      </c>
      <c r="C71" s="11" t="s">
        <v>19</v>
      </c>
      <c r="D71" s="12" t="s">
        <v>120</v>
      </c>
      <c r="E71" s="13">
        <v>70</v>
      </c>
      <c r="F71" s="13"/>
      <c r="G71" s="14" t="s">
        <v>22</v>
      </c>
      <c r="H71" s="14" t="s">
        <v>23</v>
      </c>
      <c r="I71" s="14" t="s">
        <v>48</v>
      </c>
      <c r="J71" s="15" t="s">
        <v>16</v>
      </c>
      <c r="K71" s="23"/>
      <c r="L71" s="16">
        <v>46058.625</v>
      </c>
      <c r="M71" s="16">
        <v>46058.625</v>
      </c>
      <c r="N71" s="16" t="str">
        <f t="shared" ca="1" si="1"/>
        <v>FINALIZADA</v>
      </c>
      <c r="O71" s="18"/>
      <c r="P71" s="19"/>
    </row>
    <row r="72" spans="1:16" s="17" customFormat="1" ht="15" customHeight="1" thickBot="1" x14ac:dyDescent="0.3">
      <c r="A72" s="9"/>
      <c r="B72" s="10" t="s">
        <v>18</v>
      </c>
      <c r="C72" s="11" t="s">
        <v>19</v>
      </c>
      <c r="D72" s="12" t="s">
        <v>121</v>
      </c>
      <c r="E72" s="13">
        <v>71</v>
      </c>
      <c r="F72" s="13">
        <f>E71</f>
        <v>70</v>
      </c>
      <c r="G72" s="14" t="s">
        <v>50</v>
      </c>
      <c r="H72" s="14" t="s">
        <v>51</v>
      </c>
      <c r="I72" s="14" t="s">
        <v>52</v>
      </c>
      <c r="J72" s="15" t="s">
        <v>16</v>
      </c>
      <c r="K72" s="23"/>
      <c r="L72" s="16">
        <v>46058</v>
      </c>
      <c r="M72" s="16">
        <v>46062</v>
      </c>
      <c r="N72" s="16" t="str">
        <f t="shared" ca="1" si="1"/>
        <v>FINALIZADA</v>
      </c>
      <c r="O72" s="18"/>
      <c r="P72" s="19"/>
    </row>
    <row r="73" spans="1:16" s="17" customFormat="1" ht="15" customHeight="1" thickBot="1" x14ac:dyDescent="0.3">
      <c r="A73" s="9"/>
      <c r="B73" s="10" t="s">
        <v>18</v>
      </c>
      <c r="C73" s="11" t="s">
        <v>19</v>
      </c>
      <c r="D73" s="12" t="s">
        <v>122</v>
      </c>
      <c r="E73" s="13">
        <v>72</v>
      </c>
      <c r="F73" s="13">
        <f>E72</f>
        <v>71</v>
      </c>
      <c r="G73" s="14" t="s">
        <v>22</v>
      </c>
      <c r="H73" s="14" t="s">
        <v>23</v>
      </c>
      <c r="I73" s="14" t="s">
        <v>35</v>
      </c>
      <c r="J73" s="15" t="s">
        <v>16</v>
      </c>
      <c r="K73" s="23"/>
      <c r="L73" s="16">
        <v>46063</v>
      </c>
      <c r="M73" s="16">
        <v>46064</v>
      </c>
      <c r="N73" s="16" t="str">
        <f t="shared" ca="1" si="1"/>
        <v>FINALIZADA</v>
      </c>
      <c r="O73" s="18"/>
      <c r="P73" s="19"/>
    </row>
    <row r="74" spans="1:16" s="17" customFormat="1" ht="15" customHeight="1" thickBot="1" x14ac:dyDescent="0.3">
      <c r="A74" s="9"/>
      <c r="B74" s="10" t="s">
        <v>18</v>
      </c>
      <c r="C74" s="11" t="s">
        <v>19</v>
      </c>
      <c r="D74" s="12" t="s">
        <v>123</v>
      </c>
      <c r="E74" s="13">
        <v>73</v>
      </c>
      <c r="F74" s="13"/>
      <c r="G74" s="14" t="s">
        <v>30</v>
      </c>
      <c r="H74" s="14" t="s">
        <v>31</v>
      </c>
      <c r="I74" s="14" t="s">
        <v>32</v>
      </c>
      <c r="J74" s="15" t="s">
        <v>16</v>
      </c>
      <c r="K74" s="23"/>
      <c r="L74" s="16">
        <v>46058</v>
      </c>
      <c r="M74" s="16">
        <v>46058</v>
      </c>
      <c r="N74" s="16" t="str">
        <f t="shared" ca="1" si="1"/>
        <v>FINALIZADA</v>
      </c>
      <c r="O74" s="18"/>
      <c r="P74" s="19"/>
    </row>
    <row r="75" spans="1:16" s="17" customFormat="1" ht="15" customHeight="1" thickBot="1" x14ac:dyDescent="0.3">
      <c r="A75" s="9"/>
      <c r="B75" s="10" t="s">
        <v>18</v>
      </c>
      <c r="C75" s="11" t="s">
        <v>19</v>
      </c>
      <c r="D75" s="12" t="s">
        <v>124</v>
      </c>
      <c r="E75" s="13">
        <v>74</v>
      </c>
      <c r="F75" s="13">
        <f>E74</f>
        <v>73</v>
      </c>
      <c r="G75" s="14" t="s">
        <v>30</v>
      </c>
      <c r="H75" s="14" t="s">
        <v>31</v>
      </c>
      <c r="I75" s="14" t="s">
        <v>32</v>
      </c>
      <c r="J75" s="15" t="s">
        <v>16</v>
      </c>
      <c r="K75" s="23"/>
      <c r="L75" s="16">
        <v>46063</v>
      </c>
      <c r="M75" s="16">
        <v>46064</v>
      </c>
      <c r="N75" s="16" t="str">
        <f t="shared" ca="1" si="1"/>
        <v>FINALIZADA</v>
      </c>
      <c r="O75" s="18"/>
      <c r="P75" s="19"/>
    </row>
    <row r="76" spans="1:16" s="17" customFormat="1" ht="15" customHeight="1" thickBot="1" x14ac:dyDescent="0.3">
      <c r="A76" s="9"/>
      <c r="B76" s="10" t="s">
        <v>18</v>
      </c>
      <c r="C76" s="11" t="s">
        <v>19</v>
      </c>
      <c r="D76" s="12" t="s">
        <v>125</v>
      </c>
      <c r="E76" s="13">
        <v>75</v>
      </c>
      <c r="F76" s="13"/>
      <c r="G76" s="14" t="s">
        <v>25</v>
      </c>
      <c r="H76" s="14" t="s">
        <v>26</v>
      </c>
      <c r="I76" s="14" t="s">
        <v>27</v>
      </c>
      <c r="J76" s="15" t="s">
        <v>16</v>
      </c>
      <c r="K76" s="23"/>
      <c r="L76" s="16">
        <v>45699</v>
      </c>
      <c r="M76" s="16">
        <v>45700</v>
      </c>
      <c r="N76" s="16" t="str">
        <f t="shared" ca="1" si="1"/>
        <v>FINALIZADA</v>
      </c>
      <c r="O76" s="18"/>
      <c r="P76" s="19"/>
    </row>
    <row r="77" spans="1:16" s="17" customFormat="1" ht="15" customHeight="1" thickBot="1" x14ac:dyDescent="0.3">
      <c r="A77" s="9"/>
      <c r="B77" s="10" t="s">
        <v>18</v>
      </c>
      <c r="C77" s="11" t="s">
        <v>19</v>
      </c>
      <c r="D77" s="12" t="s">
        <v>126</v>
      </c>
      <c r="E77" s="13">
        <v>76</v>
      </c>
      <c r="F77" s="13"/>
      <c r="G77" s="14" t="s">
        <v>30</v>
      </c>
      <c r="H77" s="14" t="s">
        <v>31</v>
      </c>
      <c r="I77" s="14" t="s">
        <v>32</v>
      </c>
      <c r="J77" s="15" t="s">
        <v>16</v>
      </c>
      <c r="K77" s="23"/>
      <c r="L77" s="16">
        <v>46064</v>
      </c>
      <c r="M77" s="16">
        <v>46065</v>
      </c>
      <c r="N77" s="16" t="str">
        <f t="shared" ca="1" si="1"/>
        <v>FINALIZADA</v>
      </c>
      <c r="O77" s="18"/>
      <c r="P77" s="19"/>
    </row>
    <row r="78" spans="1:16" s="17" customFormat="1" ht="15" customHeight="1" thickBot="1" x14ac:dyDescent="0.3">
      <c r="A78" s="9"/>
      <c r="B78" s="10" t="s">
        <v>18</v>
      </c>
      <c r="C78" s="11" t="s">
        <v>19</v>
      </c>
      <c r="D78" s="12" t="s">
        <v>127</v>
      </c>
      <c r="E78" s="13">
        <v>77</v>
      </c>
      <c r="F78" s="13"/>
      <c r="G78" s="14" t="s">
        <v>39</v>
      </c>
      <c r="H78" s="14" t="s">
        <v>40</v>
      </c>
      <c r="I78" s="14" t="s">
        <v>41</v>
      </c>
      <c r="J78" s="15" t="s">
        <v>16</v>
      </c>
      <c r="K78" s="23"/>
      <c r="L78" s="16">
        <v>46064</v>
      </c>
      <c r="M78" s="16">
        <v>46065</v>
      </c>
      <c r="N78" s="16" t="str">
        <f t="shared" ca="1" si="1"/>
        <v>FINALIZADA</v>
      </c>
      <c r="O78" s="18" t="s">
        <v>128</v>
      </c>
      <c r="P78" s="19"/>
    </row>
    <row r="79" spans="1:16" s="17" customFormat="1" ht="15" customHeight="1" thickBot="1" x14ac:dyDescent="0.3">
      <c r="A79" s="9"/>
      <c r="B79" s="10" t="s">
        <v>18</v>
      </c>
      <c r="C79" s="11" t="s">
        <v>19</v>
      </c>
      <c r="D79" s="12" t="s">
        <v>129</v>
      </c>
      <c r="E79" s="13">
        <v>78</v>
      </c>
      <c r="F79" s="13"/>
      <c r="G79" s="14" t="s">
        <v>22</v>
      </c>
      <c r="H79" s="14" t="s">
        <v>23</v>
      </c>
      <c r="I79" s="14" t="s">
        <v>24</v>
      </c>
      <c r="J79" s="15" t="s">
        <v>16</v>
      </c>
      <c r="K79" s="23"/>
      <c r="L79" s="16">
        <v>46064</v>
      </c>
      <c r="M79" s="16">
        <v>46065</v>
      </c>
      <c r="N79" s="16" t="str">
        <f t="shared" ca="1" si="1"/>
        <v>FINALIZADA</v>
      </c>
      <c r="O79" s="18"/>
      <c r="P79" s="19"/>
    </row>
    <row r="80" spans="1:16" s="17" customFormat="1" ht="15" customHeight="1" thickBot="1" x14ac:dyDescent="0.3">
      <c r="A80" s="9"/>
      <c r="B80" s="10" t="s">
        <v>18</v>
      </c>
      <c r="C80" s="11" t="s">
        <v>19</v>
      </c>
      <c r="D80" s="12" t="s">
        <v>130</v>
      </c>
      <c r="E80" s="13">
        <v>79</v>
      </c>
      <c r="F80" s="13"/>
      <c r="G80" s="14" t="s">
        <v>44</v>
      </c>
      <c r="H80" s="14" t="s">
        <v>45</v>
      </c>
      <c r="I80" s="14" t="s">
        <v>46</v>
      </c>
      <c r="J80" s="15" t="s">
        <v>16</v>
      </c>
      <c r="K80" s="23"/>
      <c r="L80" s="16">
        <v>46064</v>
      </c>
      <c r="M80" s="16">
        <v>46065</v>
      </c>
      <c r="N80" s="16" t="str">
        <f t="shared" ca="1" si="1"/>
        <v>FINALIZADA</v>
      </c>
      <c r="O80" s="18"/>
      <c r="P80" s="19"/>
    </row>
    <row r="81" spans="1:16" s="17" customFormat="1" ht="15" customHeight="1" thickBot="1" x14ac:dyDescent="0.3">
      <c r="A81" s="9"/>
      <c r="B81" s="10" t="s">
        <v>18</v>
      </c>
      <c r="C81" s="11" t="s">
        <v>19</v>
      </c>
      <c r="D81" s="12" t="s">
        <v>131</v>
      </c>
      <c r="E81" s="13">
        <v>80</v>
      </c>
      <c r="F81" s="13"/>
      <c r="G81" s="14" t="s">
        <v>22</v>
      </c>
      <c r="H81" s="14" t="s">
        <v>23</v>
      </c>
      <c r="I81" s="14" t="s">
        <v>29</v>
      </c>
      <c r="J81" s="15" t="s">
        <v>17</v>
      </c>
      <c r="K81" s="23"/>
      <c r="L81" s="16" t="s">
        <v>132</v>
      </c>
      <c r="M81" s="16" t="s">
        <v>132</v>
      </c>
      <c r="N81" s="16" t="str">
        <f t="shared" ca="1" si="1"/>
        <v>VIGENTE</v>
      </c>
      <c r="O81" s="18"/>
      <c r="P81" s="19"/>
    </row>
    <row r="82" spans="1:16" s="17" customFormat="1" ht="15" customHeight="1" thickBot="1" x14ac:dyDescent="0.3">
      <c r="A82" s="9"/>
      <c r="B82" s="10" t="s">
        <v>18</v>
      </c>
      <c r="C82" s="11" t="s">
        <v>19</v>
      </c>
      <c r="D82" s="12" t="s">
        <v>133</v>
      </c>
      <c r="E82" s="13">
        <v>81</v>
      </c>
      <c r="F82" s="13"/>
      <c r="G82" s="14" t="s">
        <v>22</v>
      </c>
      <c r="H82" s="14" t="s">
        <v>23</v>
      </c>
      <c r="I82" s="14" t="s">
        <v>107</v>
      </c>
      <c r="J82" s="15" t="s">
        <v>17</v>
      </c>
      <c r="K82" s="23"/>
      <c r="L82" s="16" t="s">
        <v>132</v>
      </c>
      <c r="M82" s="16" t="s">
        <v>132</v>
      </c>
      <c r="N82" s="16" t="str">
        <f t="shared" ca="1" si="1"/>
        <v>VIGENTE</v>
      </c>
      <c r="O82" s="18"/>
      <c r="P82" s="19"/>
    </row>
    <row r="83" spans="1:16" s="17" customFormat="1" ht="15" customHeight="1" thickBot="1" x14ac:dyDescent="0.3">
      <c r="A83" s="9"/>
      <c r="B83" s="10" t="s">
        <v>18</v>
      </c>
      <c r="C83" s="11" t="s">
        <v>19</v>
      </c>
      <c r="D83" s="12" t="s">
        <v>134</v>
      </c>
      <c r="E83" s="13">
        <v>82</v>
      </c>
      <c r="F83" s="13"/>
      <c r="G83" s="14" t="s">
        <v>22</v>
      </c>
      <c r="H83" s="14" t="s">
        <v>23</v>
      </c>
      <c r="I83" s="14" t="s">
        <v>107</v>
      </c>
      <c r="J83" s="15" t="s">
        <v>17</v>
      </c>
      <c r="K83" s="23" t="s">
        <v>21</v>
      </c>
      <c r="L83" s="16" t="s">
        <v>132</v>
      </c>
      <c r="M83" s="16" t="s">
        <v>132</v>
      </c>
      <c r="N83" s="16" t="str">
        <f t="shared" ca="1" si="1"/>
        <v>VIGENTE</v>
      </c>
      <c r="O83" s="18"/>
      <c r="P83" s="19"/>
    </row>
    <row r="84" spans="1:16" s="17" customFormat="1" ht="15" customHeight="1" thickBot="1" x14ac:dyDescent="0.3">
      <c r="A84" s="9"/>
      <c r="B84" s="10" t="s">
        <v>18</v>
      </c>
      <c r="C84" s="11" t="s">
        <v>19</v>
      </c>
      <c r="D84" s="12" t="s">
        <v>135</v>
      </c>
      <c r="E84" s="13">
        <v>83</v>
      </c>
      <c r="F84" s="13"/>
      <c r="G84" s="14" t="s">
        <v>136</v>
      </c>
      <c r="H84" s="14" t="s">
        <v>137</v>
      </c>
      <c r="I84" s="14" t="s">
        <v>138</v>
      </c>
      <c r="J84" s="15" t="s">
        <v>17</v>
      </c>
      <c r="K84" s="23" t="s">
        <v>21</v>
      </c>
      <c r="L84" s="16" t="s">
        <v>132</v>
      </c>
      <c r="M84" s="16" t="s">
        <v>132</v>
      </c>
      <c r="N84" s="16" t="str">
        <f t="shared" ca="1" si="1"/>
        <v>VIGENTE</v>
      </c>
      <c r="O84" s="18"/>
      <c r="P84" s="19"/>
    </row>
    <row r="85" spans="1:16" s="17" customFormat="1" ht="15" customHeight="1" thickBot="1" x14ac:dyDescent="0.3">
      <c r="A85" s="9"/>
      <c r="B85" s="10" t="s">
        <v>18</v>
      </c>
      <c r="C85" s="11" t="s">
        <v>19</v>
      </c>
      <c r="D85" s="12" t="s">
        <v>139</v>
      </c>
      <c r="E85" s="13">
        <v>84</v>
      </c>
      <c r="F85" s="13"/>
      <c r="G85" s="14" t="s">
        <v>25</v>
      </c>
      <c r="H85" s="14" t="s">
        <v>26</v>
      </c>
      <c r="I85" s="14" t="s">
        <v>27</v>
      </c>
      <c r="J85" s="15" t="s">
        <v>140</v>
      </c>
      <c r="K85" s="23"/>
      <c r="L85" s="16">
        <v>46071</v>
      </c>
      <c r="M85" s="16">
        <v>46073</v>
      </c>
      <c r="N85" s="16" t="str">
        <f ca="1">IF(J85="", "", IF(J85="CONCLUÍDO", "FINALIZADA", IF(M85&lt;TODAY(), "ATRASADA", IF(M85=TODAY(), "VENCENDO", IF(M85&gt;TODAY(), "VIGENTE", "")))))</f>
        <v>ATRASADA</v>
      </c>
      <c r="O85" s="18"/>
      <c r="P85" s="19"/>
    </row>
    <row r="86" spans="1:16" s="17" customFormat="1" ht="15" customHeight="1" thickBot="1" x14ac:dyDescent="0.3">
      <c r="A86" s="9"/>
      <c r="B86" s="10" t="s">
        <v>18</v>
      </c>
      <c r="C86" s="11" t="s">
        <v>19</v>
      </c>
      <c r="D86" s="12" t="s">
        <v>139</v>
      </c>
      <c r="E86" s="13">
        <v>85</v>
      </c>
      <c r="F86" s="13"/>
      <c r="G86" s="14" t="s">
        <v>22</v>
      </c>
      <c r="H86" s="14" t="s">
        <v>23</v>
      </c>
      <c r="I86" s="14" t="s">
        <v>48</v>
      </c>
      <c r="J86" s="15" t="s">
        <v>140</v>
      </c>
      <c r="K86" s="23"/>
      <c r="L86" s="16">
        <v>46071</v>
      </c>
      <c r="M86" s="16">
        <v>46073</v>
      </c>
      <c r="N86" s="16" t="str">
        <f ca="1">IF(J86="", "", IF(J86="CONCLUÍDO", "FINALIZADA", IF(M86&lt;TODAY(), "ATRASADA", IF(M86=TODAY(), "VENCENDO", IF(M86&gt;TODAY(), "VIGENTE", "")))))</f>
        <v>ATRASADA</v>
      </c>
      <c r="O86" s="18"/>
      <c r="P86" s="19"/>
    </row>
    <row r="87" spans="1:16" s="17" customFormat="1" ht="15" customHeight="1" thickBot="1" x14ac:dyDescent="0.3">
      <c r="A87" s="9"/>
      <c r="B87" s="10" t="s">
        <v>18</v>
      </c>
      <c r="C87" s="11" t="s">
        <v>19</v>
      </c>
      <c r="D87" s="12" t="s">
        <v>141</v>
      </c>
      <c r="E87" s="13">
        <v>86</v>
      </c>
      <c r="F87" s="13"/>
      <c r="G87" s="14" t="s">
        <v>25</v>
      </c>
      <c r="H87" s="14" t="s">
        <v>26</v>
      </c>
      <c r="I87" s="14" t="s">
        <v>27</v>
      </c>
      <c r="J87" s="15" t="s">
        <v>16</v>
      </c>
      <c r="K87" s="23"/>
      <c r="L87" s="16">
        <v>46071</v>
      </c>
      <c r="M87" s="16">
        <v>46073</v>
      </c>
      <c r="N87" s="16" t="str">
        <f ca="1">IF(J87="", "", IF(J87="CONCLUÍDO", "FINALIZADA", IF(M87&lt;TODAY(), "ATRASADA", IF(M87=TODAY(), "VENCENDO", IF(M87&gt;TODAY(), "VIGENTE", "")))))</f>
        <v>FINALIZADA</v>
      </c>
      <c r="O87" s="18"/>
      <c r="P87" s="19"/>
    </row>
    <row r="88" spans="1:16" s="17" customFormat="1" ht="15" customHeight="1" thickBot="1" x14ac:dyDescent="0.3">
      <c r="A88" s="9"/>
      <c r="B88" s="10" t="s">
        <v>18</v>
      </c>
      <c r="C88" s="11" t="s">
        <v>19</v>
      </c>
      <c r="D88" s="12" t="s">
        <v>142</v>
      </c>
      <c r="E88" s="13">
        <v>87</v>
      </c>
      <c r="F88" s="13">
        <f>E87</f>
        <v>86</v>
      </c>
      <c r="G88" s="14" t="s">
        <v>25</v>
      </c>
      <c r="H88" s="14" t="s">
        <v>26</v>
      </c>
      <c r="I88" s="14" t="s">
        <v>27</v>
      </c>
      <c r="J88" s="15" t="s">
        <v>140</v>
      </c>
      <c r="K88" s="23"/>
      <c r="L88" s="16">
        <v>46071</v>
      </c>
      <c r="M88" s="16">
        <v>46073</v>
      </c>
      <c r="N88" s="16" t="str">
        <f ca="1">IF(J88="", "", IF(J88="CONCLUÍDO", "FINALIZADA", IF(M88&lt;TODAY(), "ATRASADA", IF(M88=TODAY(), "VENCENDO", IF(M88&gt;TODAY(), "VIGENTE", "")))))</f>
        <v>ATRASADA</v>
      </c>
      <c r="O88" s="18"/>
      <c r="P88" s="19"/>
    </row>
    <row r="89" spans="1:16" s="17" customFormat="1" ht="15" customHeight="1" thickBot="1" x14ac:dyDescent="0.3">
      <c r="A89" s="9"/>
      <c r="B89" s="10" t="s">
        <v>18</v>
      </c>
      <c r="C89" s="11" t="s">
        <v>143</v>
      </c>
      <c r="D89" s="12" t="s">
        <v>144</v>
      </c>
      <c r="E89" s="13">
        <v>88</v>
      </c>
      <c r="F89" s="13"/>
      <c r="G89" s="14" t="s">
        <v>22</v>
      </c>
      <c r="H89" s="14" t="s">
        <v>23</v>
      </c>
      <c r="I89" s="14" t="s">
        <v>107</v>
      </c>
      <c r="J89" s="15" t="s">
        <v>17</v>
      </c>
      <c r="K89" s="23"/>
      <c r="L89" s="16">
        <v>46072</v>
      </c>
      <c r="M89" s="16">
        <v>46073</v>
      </c>
      <c r="N89" s="16" t="str">
        <f t="shared" ref="N89:N97" ca="1" si="2">IF(J89="", "", IF(J89="CONCLUÍDO", "FINALIZADA", IF(M89&lt;TODAY(), "ATRASADA", IF(M89=TODAY(), "VENCENDO", IF(M89&gt;TODAY(), "VIGENTE", "")))))</f>
        <v>ATRASADA</v>
      </c>
      <c r="O89" s="18"/>
      <c r="P89" s="19"/>
    </row>
    <row r="90" spans="1:16" s="17" customFormat="1" ht="15" customHeight="1" thickBot="1" x14ac:dyDescent="0.3">
      <c r="A90" s="9"/>
      <c r="B90" s="10" t="s">
        <v>18</v>
      </c>
      <c r="C90" s="11" t="s">
        <v>143</v>
      </c>
      <c r="D90" s="12" t="s">
        <v>145</v>
      </c>
      <c r="E90" s="13">
        <v>89</v>
      </c>
      <c r="F90" s="13"/>
      <c r="G90" s="14" t="s">
        <v>22</v>
      </c>
      <c r="H90" s="14" t="s">
        <v>23</v>
      </c>
      <c r="I90" s="14" t="s">
        <v>35</v>
      </c>
      <c r="J90" s="15" t="s">
        <v>16</v>
      </c>
      <c r="K90" s="23"/>
      <c r="L90" s="16">
        <v>46073</v>
      </c>
      <c r="M90" s="16">
        <v>46073</v>
      </c>
      <c r="N90" s="16" t="str">
        <f t="shared" ca="1" si="2"/>
        <v>FINALIZADA</v>
      </c>
      <c r="O90" s="18"/>
      <c r="P90" s="19"/>
    </row>
    <row r="91" spans="1:16" s="17" customFormat="1" ht="15" customHeight="1" thickBot="1" x14ac:dyDescent="0.3">
      <c r="A91" s="9"/>
      <c r="B91" s="10" t="s">
        <v>18</v>
      </c>
      <c r="C91" s="11" t="s">
        <v>143</v>
      </c>
      <c r="D91" s="12" t="s">
        <v>145</v>
      </c>
      <c r="E91" s="13">
        <v>90</v>
      </c>
      <c r="F91" s="13"/>
      <c r="G91" s="14" t="s">
        <v>114</v>
      </c>
      <c r="H91" s="14" t="s">
        <v>146</v>
      </c>
      <c r="I91" s="14" t="s">
        <v>147</v>
      </c>
      <c r="J91" s="15" t="s">
        <v>140</v>
      </c>
      <c r="K91" s="23"/>
      <c r="L91" s="16">
        <v>46073</v>
      </c>
      <c r="M91" s="16">
        <v>46073</v>
      </c>
      <c r="N91" s="16" t="str">
        <f t="shared" ca="1" si="2"/>
        <v>ATRASADA</v>
      </c>
      <c r="O91" s="18"/>
      <c r="P91" s="19"/>
    </row>
    <row r="92" spans="1:16" s="17" customFormat="1" ht="15" customHeight="1" thickBot="1" x14ac:dyDescent="0.3">
      <c r="A92" s="9"/>
      <c r="B92" s="10" t="s">
        <v>18</v>
      </c>
      <c r="C92" s="11" t="s">
        <v>143</v>
      </c>
      <c r="D92" s="12" t="s">
        <v>148</v>
      </c>
      <c r="E92" s="13">
        <v>91</v>
      </c>
      <c r="F92" s="13"/>
      <c r="G92" s="14" t="s">
        <v>22</v>
      </c>
      <c r="H92" s="14" t="s">
        <v>23</v>
      </c>
      <c r="I92" s="14" t="s">
        <v>22</v>
      </c>
      <c r="J92" s="15" t="s">
        <v>140</v>
      </c>
      <c r="K92" s="23"/>
      <c r="L92" s="16">
        <v>46072</v>
      </c>
      <c r="M92" s="16">
        <v>46073</v>
      </c>
      <c r="N92" s="16" t="str">
        <f t="shared" ca="1" si="2"/>
        <v>ATRASADA</v>
      </c>
      <c r="O92" s="18"/>
      <c r="P92" s="19"/>
    </row>
    <row r="93" spans="1:16" s="17" customFormat="1" ht="15" customHeight="1" thickBot="1" x14ac:dyDescent="0.3">
      <c r="A93" s="9"/>
      <c r="B93" s="10" t="s">
        <v>18</v>
      </c>
      <c r="C93" s="11" t="s">
        <v>143</v>
      </c>
      <c r="D93" s="12" t="s">
        <v>149</v>
      </c>
      <c r="E93" s="13">
        <v>92</v>
      </c>
      <c r="F93" s="13"/>
      <c r="G93" s="14" t="s">
        <v>25</v>
      </c>
      <c r="H93" s="14" t="s">
        <v>150</v>
      </c>
      <c r="I93" s="14" t="s">
        <v>151</v>
      </c>
      <c r="J93" s="15" t="s">
        <v>16</v>
      </c>
      <c r="K93" s="23"/>
      <c r="L93" s="16">
        <v>46063</v>
      </c>
      <c r="M93" s="16">
        <v>46073</v>
      </c>
      <c r="N93" s="16" t="str">
        <f t="shared" ca="1" si="2"/>
        <v>FINALIZADA</v>
      </c>
      <c r="O93" s="18"/>
      <c r="P93" s="19"/>
    </row>
    <row r="94" spans="1:16" s="17" customFormat="1" ht="15" customHeight="1" thickBot="1" x14ac:dyDescent="0.3">
      <c r="A94" s="9"/>
      <c r="B94" s="10" t="s">
        <v>18</v>
      </c>
      <c r="C94" s="11" t="s">
        <v>143</v>
      </c>
      <c r="D94" s="12" t="s">
        <v>152</v>
      </c>
      <c r="E94" s="13">
        <v>93</v>
      </c>
      <c r="F94" s="13"/>
      <c r="G94" s="14" t="s">
        <v>30</v>
      </c>
      <c r="H94" s="14" t="s">
        <v>150</v>
      </c>
      <c r="I94" s="14" t="s">
        <v>151</v>
      </c>
      <c r="J94" s="15" t="s">
        <v>16</v>
      </c>
      <c r="K94" s="23"/>
      <c r="L94" s="16">
        <v>46063</v>
      </c>
      <c r="M94" s="16">
        <v>46073</v>
      </c>
      <c r="N94" s="16" t="str">
        <f t="shared" ca="1" si="2"/>
        <v>FINALIZADA</v>
      </c>
      <c r="O94" s="18"/>
      <c r="P94" s="19"/>
    </row>
    <row r="95" spans="1:16" s="17" customFormat="1" ht="15" customHeight="1" thickBot="1" x14ac:dyDescent="0.3">
      <c r="A95" s="9"/>
      <c r="B95" s="10" t="s">
        <v>18</v>
      </c>
      <c r="C95" s="11" t="s">
        <v>143</v>
      </c>
      <c r="D95" s="12" t="s">
        <v>153</v>
      </c>
      <c r="E95" s="13">
        <v>94</v>
      </c>
      <c r="F95" s="13"/>
      <c r="G95" s="14" t="s">
        <v>50</v>
      </c>
      <c r="H95" s="14" t="s">
        <v>51</v>
      </c>
      <c r="I95" s="14" t="s">
        <v>104</v>
      </c>
      <c r="J95" s="15" t="s">
        <v>140</v>
      </c>
      <c r="K95" s="23"/>
      <c r="L95" s="16">
        <v>46072</v>
      </c>
      <c r="M95" s="16">
        <v>46073</v>
      </c>
      <c r="N95" s="16" t="str">
        <f t="shared" ca="1" si="2"/>
        <v>ATRASADA</v>
      </c>
      <c r="O95" s="18"/>
      <c r="P95" s="19"/>
    </row>
    <row r="96" spans="1:16" s="17" customFormat="1" ht="15" customHeight="1" thickBot="1" x14ac:dyDescent="0.3">
      <c r="A96" s="9"/>
      <c r="B96" s="10" t="s">
        <v>18</v>
      </c>
      <c r="C96" s="11" t="s">
        <v>143</v>
      </c>
      <c r="D96" s="12" t="s">
        <v>154</v>
      </c>
      <c r="E96" s="13">
        <v>95</v>
      </c>
      <c r="F96" s="13"/>
      <c r="G96" s="14" t="s">
        <v>22</v>
      </c>
      <c r="H96" s="14" t="s">
        <v>23</v>
      </c>
      <c r="I96" s="14" t="s">
        <v>35</v>
      </c>
      <c r="J96" s="15" t="s">
        <v>17</v>
      </c>
      <c r="K96" s="23"/>
      <c r="L96" s="16">
        <v>46072</v>
      </c>
      <c r="M96" s="16">
        <v>46073</v>
      </c>
      <c r="N96" s="16" t="str">
        <f t="shared" ca="1" si="2"/>
        <v>ATRASADA</v>
      </c>
      <c r="O96" s="18"/>
      <c r="P96" s="19"/>
    </row>
    <row r="97" spans="1:16" s="17" customFormat="1" ht="15" customHeight="1" thickBot="1" x14ac:dyDescent="0.3">
      <c r="A97" s="9"/>
      <c r="B97" s="10" t="s">
        <v>18</v>
      </c>
      <c r="C97" s="11" t="s">
        <v>143</v>
      </c>
      <c r="D97" s="12" t="s">
        <v>155</v>
      </c>
      <c r="E97" s="13">
        <v>96</v>
      </c>
      <c r="F97" s="13"/>
      <c r="G97" s="14" t="s">
        <v>156</v>
      </c>
      <c r="H97" s="14" t="s">
        <v>150</v>
      </c>
      <c r="I97" s="14" t="s">
        <v>157</v>
      </c>
      <c r="J97" s="15" t="s">
        <v>17</v>
      </c>
      <c r="K97" s="23"/>
      <c r="L97" s="16">
        <v>46063</v>
      </c>
      <c r="M97" s="16">
        <v>46073</v>
      </c>
      <c r="N97" s="16" t="str">
        <f t="shared" ca="1" si="2"/>
        <v>ATRASADA</v>
      </c>
      <c r="O97" s="18"/>
      <c r="P97" s="19"/>
    </row>
  </sheetData>
  <autoFilter ref="A1:P97" xr:uid="{26EC8D96-D1F0-4869-B056-D98C221E6418}"/>
  <conditionalFormatting sqref="J1:J97">
    <cfRule type="cellIs" dxfId="27" priority="54" operator="equal">
      <formula>"NÃO INICIADO - ATRASADO"</formula>
    </cfRule>
    <cfRule type="cellIs" dxfId="26" priority="55" operator="equal">
      <formula>"EM ANDAMENTO -ATRASADO"</formula>
    </cfRule>
  </conditionalFormatting>
  <conditionalFormatting sqref="J78">
    <cfRule type="cellIs" dxfId="25" priority="1" operator="equal">
      <formula>"CONCLUÍDO"</formula>
    </cfRule>
    <cfRule type="cellIs" dxfId="24" priority="2" operator="equal">
      <formula>"ATRASADO"</formula>
    </cfRule>
    <cfRule type="cellIs" dxfId="23" priority="3" operator="equal">
      <formula>"NÃO INICIADO"</formula>
    </cfRule>
    <cfRule type="cellIs" dxfId="22" priority="4" operator="equal">
      <formula>"EM ANDAMENTO"</formula>
    </cfRule>
  </conditionalFormatting>
  <conditionalFormatting sqref="J81:J97">
    <cfRule type="cellIs" dxfId="21" priority="22" operator="equal">
      <formula>"CONCLUÍDO"</formula>
    </cfRule>
    <cfRule type="cellIs" dxfId="20" priority="23" operator="equal">
      <formula>"ATRASADO"</formula>
    </cfRule>
    <cfRule type="cellIs" dxfId="19" priority="24" operator="equal">
      <formula>"NÃO INICIADO"</formula>
    </cfRule>
    <cfRule type="cellIs" dxfId="18" priority="25" operator="equal">
      <formula>"EM ANDAMENTO"</formula>
    </cfRule>
  </conditionalFormatting>
  <conditionalFormatting sqref="J2:K41 J42:J52 J53:K93">
    <cfRule type="cellIs" dxfId="17" priority="18" operator="equal">
      <formula>"CONCLUÍDO"</formula>
    </cfRule>
    <cfRule type="cellIs" dxfId="16" priority="19" operator="equal">
      <formula>"ATRASADO"</formula>
    </cfRule>
    <cfRule type="cellIs" dxfId="15" priority="20" operator="equal">
      <formula>"NÃO INICIADO"</formula>
    </cfRule>
    <cfRule type="cellIs" dxfId="14" priority="21" operator="equal">
      <formula>"EM ANDAMENTO"</formula>
    </cfRule>
  </conditionalFormatting>
  <conditionalFormatting sqref="J46:K47 K48:K52">
    <cfRule type="cellIs" dxfId="13" priority="50" operator="equal">
      <formula>"CONCLUÍDO"</formula>
    </cfRule>
    <cfRule type="cellIs" dxfId="12" priority="51" operator="equal">
      <formula>"ATRASADO"</formula>
    </cfRule>
    <cfRule type="cellIs" dxfId="11" priority="52" operator="equal">
      <formula>"NÃO INICIADO"</formula>
    </cfRule>
    <cfRule type="cellIs" dxfId="10" priority="53" operator="equal">
      <formula>"EM ANDAMENTO"</formula>
    </cfRule>
  </conditionalFormatting>
  <conditionalFormatting sqref="K42:K45">
    <cfRule type="cellIs" dxfId="9" priority="46" operator="equal">
      <formula>"CONCLUÍDO"</formula>
    </cfRule>
    <cfRule type="cellIs" dxfId="8" priority="47" operator="equal">
      <formula>"ATRASADO"</formula>
    </cfRule>
    <cfRule type="cellIs" dxfId="7" priority="48" operator="equal">
      <formula>"NÃO INICIADO"</formula>
    </cfRule>
    <cfRule type="cellIs" dxfId="6" priority="49" operator="equal">
      <formula>"EM ANDAMENTO"</formula>
    </cfRule>
  </conditionalFormatting>
  <conditionalFormatting sqref="K94:K97">
    <cfRule type="cellIs" dxfId="5" priority="88" operator="equal">
      <formula>"CONCLUÍDO"</formula>
    </cfRule>
    <cfRule type="cellIs" dxfId="4" priority="89" operator="equal">
      <formula>"ATRASADO"</formula>
    </cfRule>
    <cfRule type="cellIs" dxfId="3" priority="90" operator="equal">
      <formula>"NÃO INICIADO"</formula>
    </cfRule>
    <cfRule type="cellIs" dxfId="2" priority="91" operator="equal">
      <formula>"EM ANDAMENTO"</formula>
    </cfRule>
  </conditionalFormatting>
  <conditionalFormatting sqref="N1:N1048576">
    <cfRule type="expression" dxfId="1" priority="9">
      <formula>$N:$N="VENCENDO"</formula>
    </cfRule>
    <cfRule type="expression" dxfId="0" priority="10">
      <formula>$N:$N="FINALIZADA"</formula>
    </cfRule>
  </conditionalFormatting>
  <dataValidations count="1">
    <dataValidation type="list" allowBlank="1" showInputMessage="1" showErrorMessage="1" sqref="K2:K97" xr:uid="{6A49EFFF-0794-47FA-8EA7-0BA4BC92136F}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C5257DA587DC41A66EC59D887286DA" ma:contentTypeVersion="13" ma:contentTypeDescription="Crie um novo documento." ma:contentTypeScope="" ma:versionID="c1ca4ba6d79ccd11599f74f585a5944d">
  <xsd:schema xmlns:xsd="http://www.w3.org/2001/XMLSchema" xmlns:xs="http://www.w3.org/2001/XMLSchema" xmlns:p="http://schemas.microsoft.com/office/2006/metadata/properties" xmlns:ns2="c07156c6-b3d6-47fe-90fe-41d94611589a" xmlns:ns3="b6a5a379-3ccd-47e7-92d4-dee7b1a3a097" targetNamespace="http://schemas.microsoft.com/office/2006/metadata/properties" ma:root="true" ma:fieldsID="a555085ee284c9966e73d8d59c393e3c" ns2:_="" ns3:_="">
    <xsd:import namespace="c07156c6-b3d6-47fe-90fe-41d94611589a"/>
    <xsd:import namespace="b6a5a379-3ccd-47e7-92d4-dee7b1a3a0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156c6-b3d6-47fe-90fe-41d9461158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5a379-3ccd-47e7-92d4-dee7b1a3a09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7156c6-b3d6-47fe-90fe-41d9461158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672392-DCAE-426E-84C4-27BD71761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7156c6-b3d6-47fe-90fe-41d94611589a"/>
    <ds:schemaRef ds:uri="b6a5a379-3ccd-47e7-92d4-dee7b1a3a0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4982D5-AF20-42C9-871C-E0AD490F72E7}">
  <ds:schemaRefs>
    <ds:schemaRef ds:uri="http://purl.org/dc/dcmitype/"/>
    <ds:schemaRef ds:uri="http://schemas.microsoft.com/office/2006/documentManagement/types"/>
    <ds:schemaRef ds:uri="http://purl.org/dc/terms/"/>
    <ds:schemaRef ds:uri="c07156c6-b3d6-47fe-90fe-41d94611589a"/>
    <ds:schemaRef ds:uri="http://schemas.microsoft.com/office/infopath/2007/PartnerControls"/>
    <ds:schemaRef ds:uri="b6a5a379-3ccd-47e7-92d4-dee7b1a3a097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E1D50D8-1F6C-4041-A785-B1C5CBC22D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Cutover Consolidado</vt:lpstr>
    </vt:vector>
  </TitlesOfParts>
  <Manager/>
  <Company>Energisa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 de Andrade e Santos</dc:creator>
  <cp:keywords/>
  <dc:description/>
  <cp:lastModifiedBy>Diego Anzolin Ferreira</cp:lastModifiedBy>
  <cp:revision/>
  <dcterms:created xsi:type="dcterms:W3CDTF">2026-02-03T18:45:00Z</dcterms:created>
  <dcterms:modified xsi:type="dcterms:W3CDTF">2026-03-25T16:46:45Z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0x010100D7C5257DA587DC41A66EC59D887286DA</vt:lpwstr>
  </property>
  <property fmtid="{D5CDD505-2E9C-101B-9397-08002B2CF9AE}" pid="3" name="MediaServiceImageTags">
    <vt:lpwstr/>
  </property>
</Properties>
</file>